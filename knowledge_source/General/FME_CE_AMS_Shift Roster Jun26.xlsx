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fmcemea.sharepoint.com/teams/WWWATOTeamschannel/Shared Documents/ATO Team space/AMS/Transition/Shift Roster/"/>
    </mc:Choice>
  </mc:AlternateContent>
  <xr:revisionPtr revIDLastSave="0" documentId="8_{DB138923-C433-4F35-B899-13F269A8A9C3}" xr6:coauthVersionLast="47" xr6:coauthVersionMax="47" xr10:uidLastSave="{00000000-0000-0000-0000-000000000000}"/>
  <bookViews>
    <workbookView xWindow="-110" yWindow="-110" windowWidth="19420" windowHeight="10300" tabRatio="772" firstSheet="9" activeTab="9" xr2:uid="{6997F504-C8CE-4EAD-B16E-35C302ACFC0A}"/>
  </bookViews>
  <sheets>
    <sheet name="LIST" sheetId="1" r:id="rId1"/>
    <sheet name="PLM" sheetId="2" r:id="rId2"/>
    <sheet name="PLM_19-Mar-2026" sheetId="15" state="hidden" r:id="rId3"/>
    <sheet name="PLM_20-Mar-2026" sheetId="16" state="hidden" r:id="rId4"/>
    <sheet name="Others" sheetId="4" r:id="rId5"/>
    <sheet name="PLM (2)" sheetId="5" state="hidden" r:id="rId6"/>
    <sheet name="Seebuger L1.5" sheetId="13" state="hidden" r:id="rId7"/>
    <sheet name="CE Team Summary" sheetId="12" r:id="rId8"/>
    <sheet name="IMS AWS Team" sheetId="18" r:id="rId9"/>
    <sheet name="L 1.5 - Seeburger" sheetId="14" r:id="rId10"/>
    <sheet name="L1.5 - IOT" sheetId="10" r:id="rId11"/>
    <sheet name="Weekend Support Roster" sheetId="7" r:id="rId12"/>
    <sheet name="Contacts" sheetId="8" r:id="rId13"/>
    <sheet name="PLM_Until_14Nov25" sheetId="11" state="hidden" r:id="rId14"/>
    <sheet name="PLM_backup" sheetId="17" r:id="rId15"/>
    <sheet name="CE QuickService" sheetId="19" r:id="rId16"/>
  </sheets>
  <definedNames>
    <definedName name="_xlnm._FilterDatabase" localSheetId="15" hidden="1">'CE QuickService'!$A$1:$P$36</definedName>
    <definedName name="_xlnm._FilterDatabase" localSheetId="12" hidden="1">Contacts!$A$1:$D$1</definedName>
    <definedName name="_xlnm._FilterDatabase" localSheetId="0" hidden="1">LIST!$A$1:$H$36</definedName>
    <definedName name="_xlnm._FilterDatabase" localSheetId="4" hidden="1">Others!$A$3:$AF$37</definedName>
    <definedName name="_xlnm._FilterDatabase" localSheetId="1" hidden="1">PLM!$A$1:$W$26</definedName>
    <definedName name="_xlnm._FilterDatabase" localSheetId="14" hidden="1">PLM_backup!$A$1:$W$27</definedName>
    <definedName name="_xlnm._FilterDatabase" localSheetId="13" hidden="1">PLM_Until_14Nov25!$A$1:$AB$29</definedName>
    <definedName name="_xlnm._FilterDatabase" localSheetId="11" hidden="1">'Weekend Support Roster'!$A$1:$P$35</definedName>
    <definedName name="_xlnm._FilterDatabase" localSheetId="7" hidden="1">'CE Team Summary'!$A$1:$P$36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3" l="1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C16" i="4"/>
  <c r="C29" i="4"/>
  <c r="C30" i="4"/>
  <c r="C31" i="4"/>
  <c r="C32" i="4"/>
  <c r="C26" i="4"/>
  <c r="C27" i="4"/>
  <c r="C28" i="4"/>
  <c r="C6" i="4"/>
  <c r="C7" i="4"/>
  <c r="C8" i="4"/>
  <c r="C9" i="4"/>
  <c r="C10" i="4"/>
  <c r="C11" i="4"/>
  <c r="C12" i="4"/>
  <c r="C13" i="4"/>
  <c r="C14" i="4"/>
  <c r="C17" i="4"/>
  <c r="C18" i="4"/>
  <c r="C19" i="4"/>
  <c r="C20" i="4"/>
  <c r="C21" i="4"/>
  <c r="C22" i="4"/>
  <c r="C23" i="4"/>
  <c r="C24" i="4"/>
  <c r="C25" i="4"/>
  <c r="C4" i="4"/>
</calcChain>
</file>

<file path=xl/sharedStrings.xml><?xml version="1.0" encoding="utf-8"?>
<sst xmlns="http://schemas.openxmlformats.org/spreadsheetml/2006/main" count="4621" uniqueCount="718">
  <si>
    <t>App ID</t>
  </si>
  <si>
    <t xml:space="preserve">App Name </t>
  </si>
  <si>
    <t>FME App Owner</t>
  </si>
  <si>
    <t>FME IT LEAD</t>
  </si>
  <si>
    <t>Cognizant App Owner Name</t>
  </si>
  <si>
    <t>Cognizant App Primary POC</t>
  </si>
  <si>
    <t>Type</t>
  </si>
  <si>
    <t>Link to Roster sheet</t>
  </si>
  <si>
    <t>Global ComplianceWire - Quality &amp; Regulatory Training</t>
  </si>
  <si>
    <t>dirk.malland@freseniusmedicalcare.com</t>
  </si>
  <si>
    <t>amy.green@freseniusmedicalcare.com</t>
  </si>
  <si>
    <t>Arun Kumar S
Arun.KumarS4@cognizant.com</t>
  </si>
  <si>
    <t>8x5</t>
  </si>
  <si>
    <t>Others!A1</t>
  </si>
  <si>
    <t>Mobile: CSM App</t>
  </si>
  <si>
    <t>Ritesh Nagori</t>
  </si>
  <si>
    <t>joerg.ludwig@freseniusmedicalcare.com</t>
  </si>
  <si>
    <t>Arunprasath
Arunprasath.S2@cognizant.com</t>
  </si>
  <si>
    <t>Thangappan, Arunpandi
Arunpandi.Thangappan@cognizant.com</t>
  </si>
  <si>
    <t>24x5</t>
  </si>
  <si>
    <t>Mobile: One App</t>
  </si>
  <si>
    <t>ildiko-kinga.peter@freseniusmedicalcare.com</t>
  </si>
  <si>
    <t>Mobile: One App Desktop</t>
  </si>
  <si>
    <t>Vasudevan, Vishnu
Vishnu.Vasudevan3@cognizant.com</t>
  </si>
  <si>
    <t>Mobile: PID</t>
  </si>
  <si>
    <t>alexander.wagner@freseniusmedicalcare.com</t>
  </si>
  <si>
    <t>SleepSafeHarmony 2 EN</t>
  </si>
  <si>
    <t>16x5</t>
  </si>
  <si>
    <t>Seeburger</t>
  </si>
  <si>
    <t>Kondal.Reddy.Kasireddy@freseniusmedicalcare.com</t>
  </si>
  <si>
    <t>Atanu
Atanu.Sadhukhan@cognizant.com</t>
  </si>
  <si>
    <t>Joyson A
Joyson.A@cognizant.com</t>
  </si>
  <si>
    <t>24x7</t>
  </si>
  <si>
    <t>App Connect (Cast Iron)</t>
  </si>
  <si>
    <t>Panthalarajan.Nagarethinam@freseniusmedicalcare.com</t>
  </si>
  <si>
    <t>Srivarsha Gadipelli
Srivarsha.Gadipelli@cognizant.com</t>
  </si>
  <si>
    <t>Trackwise (QTRAK)</t>
  </si>
  <si>
    <t>guruprasad.subbarayalu@freseniusmedicalcare.com</t>
  </si>
  <si>
    <t>Manjunath R
Manjunath.R3@cognizant.com</t>
  </si>
  <si>
    <t>Nagraj LNU
Nagraj.LNU@cognizant.com</t>
  </si>
  <si>
    <t>JIRA - FME EQMS</t>
  </si>
  <si>
    <t>mahammed.zubair@freseniusmedicalcare.com</t>
  </si>
  <si>
    <t>Vinish
VinishKumar.V.M@cognizant.com</t>
  </si>
  <si>
    <t>Jeevam Empati
Jeevan.Empati@cognizant.com</t>
  </si>
  <si>
    <t>JIRA - FME QREM - CAPA Management</t>
  </si>
  <si>
    <t>JIRA / Service Desk - FME Technet/HR Operations</t>
  </si>
  <si>
    <t>nitin.sane@freseniusmedicalcare.com</t>
  </si>
  <si>
    <t xml:space="preserve">Artifactory </t>
  </si>
  <si>
    <t xml:space="preserve">Harald Villinger </t>
  </si>
  <si>
    <t>harald.villinger@freseniusmedicalcare.com</t>
  </si>
  <si>
    <t>Pradip Kumar
Pradip.Dhak@cognizant.com</t>
  </si>
  <si>
    <t>Naren Elango
Naren.Elango@cognizant.com</t>
  </si>
  <si>
    <t>Viima</t>
  </si>
  <si>
    <t>Sabrina Nyugen</t>
  </si>
  <si>
    <t>Maximilian.Naas@freseniusmedicalcare.com</t>
  </si>
  <si>
    <t>gpm-jenkins-prod-Diamond</t>
  </si>
  <si>
    <t>Thorsten Boecker</t>
  </si>
  <si>
    <t>thorsten.boecker@freseniusmedicalcare.com</t>
  </si>
  <si>
    <t>Polarion</t>
  </si>
  <si>
    <t>renate.floeser@freseniusmedicalcare.com
miklos.spirko@freseniusmedicalcare.com</t>
  </si>
  <si>
    <t>Nitin Jain
Jain.Nitin@cognizant.com</t>
  </si>
  <si>
    <t>Sagar Kaware
Sagar.Kaware@cognizant.com</t>
  </si>
  <si>
    <t>PLM!A1</t>
  </si>
  <si>
    <t>PTC ThingWorx Navigate</t>
  </si>
  <si>
    <t>Renate Floeser</t>
  </si>
  <si>
    <t>surender-reddy.muddam@freseniusmedicalcare.com</t>
  </si>
  <si>
    <t>Gowthami Konduri
Gowthami.Konduri@cognizant.com</t>
  </si>
  <si>
    <t>PTC Windchill GPDM</t>
  </si>
  <si>
    <t>Olivier de Bruijn</t>
  </si>
  <si>
    <t>ravi.vuta@freseniusmedicalcare.com</t>
  </si>
  <si>
    <t>PTC Windchill NA</t>
  </si>
  <si>
    <t>Ravi Vuta</t>
  </si>
  <si>
    <t>Akriti Vats
Akriti.Vats@cognizant.com</t>
  </si>
  <si>
    <t>PTC CREO</t>
  </si>
  <si>
    <t>Nikhil Bhiste
Bhiste.Nikhil@cognizant.com</t>
  </si>
  <si>
    <t>TBD</t>
  </si>
  <si>
    <t>Azure: ICC Portal</t>
  </si>
  <si>
    <t>andreas.klaus@freseniusmedicalcare.com</t>
  </si>
  <si>
    <t>Silpa C
C.Silpa@cognizant.com</t>
  </si>
  <si>
    <t>BI SQL Cluster / FME - Epur</t>
  </si>
  <si>
    <t>eric.lucas@freseniusmedicalcare.com</t>
  </si>
  <si>
    <t>Rajesh Kumar E
RajeshKumar.E@cognizant.com</t>
  </si>
  <si>
    <t>Salesforce Health Cloud - Shield, Field Service Lightning</t>
  </si>
  <si>
    <t>Suresh Madhwapathy</t>
  </si>
  <si>
    <t>Charles.McField@freseniusmedicalcare.com</t>
  </si>
  <si>
    <t>Sagar Solanki
Sagar.Solanki@cognizant.com</t>
  </si>
  <si>
    <t>Varsha Hariharan
Varsha.Hariharan@cognizant.com</t>
  </si>
  <si>
    <t>Salesforce Integrations (US CE Commercial)</t>
  </si>
  <si>
    <t>Clinic Backroom Supply (RTG Orders / RTG Supplies)</t>
  </si>
  <si>
    <t>Cindy.Gartley@freseniusmedicalcare.com</t>
  </si>
  <si>
    <t>SalesForce (CE US Commercial)</t>
  </si>
  <si>
    <t>Salesforce NxStage Medical</t>
  </si>
  <si>
    <t>Duncan Stewart</t>
  </si>
  <si>
    <t>Duncan.Stewart@freseniusmedicalcare.com</t>
  </si>
  <si>
    <t>Salesforce - Conga (LATAM)</t>
  </si>
  <si>
    <t>ceres.tenenbaum@freseniusmedicalcare.com</t>
  </si>
  <si>
    <t>Rohit Prasad
rohit.prasad3@cognizant.com</t>
  </si>
  <si>
    <t>Salesforce - Conga (CE US Commercial)</t>
  </si>
  <si>
    <t>zachary.schuneman@freseniusmedicalcare.com</t>
  </si>
  <si>
    <t>CQT - Configuration &amp; Quotation Tool</t>
  </si>
  <si>
    <t>Helena.Schmitz@freseniusmedicalcare.com
andreas.klaus@freseniusmedicalcare.com</t>
  </si>
  <si>
    <t>Pooja PH
Pooja.PH@cognizant.com</t>
  </si>
  <si>
    <t>Modern Requirements</t>
  </si>
  <si>
    <t>Olivier.deBruijn@freseniusmedicalcare.com</t>
  </si>
  <si>
    <t>Murali Yenamala
Gopala.YenamalaMurali@cognizant.com</t>
  </si>
  <si>
    <t>GPDM Subversion</t>
  </si>
  <si>
    <t>harald.villinger_x000D_
michael.baunach</t>
  </si>
  <si>
    <t>harald.villinger@freseniusmedicalcare.com
michael.baunach@freseniusmedicalcare.com</t>
  </si>
  <si>
    <t>Thiruvengadam
Thiruvengadam.TC@cognizant.com</t>
  </si>
  <si>
    <t>Azure: ICC External</t>
  </si>
  <si>
    <t>Azure: ICC Training Material</t>
  </si>
  <si>
    <t>IQVIA</t>
  </si>
  <si>
    <t>larion</t>
  </si>
  <si>
    <t>Shift #</t>
  </si>
  <si>
    <t>Support Type</t>
  </si>
  <si>
    <t>Shift Timing (IST)</t>
  </si>
  <si>
    <t>6:00 AM – 3:00 PM (IST)</t>
  </si>
  <si>
    <t>1:00 PM – 10:00 PM (IST)</t>
  </si>
  <si>
    <t>6:30 PM – 3:30 AM (IST)</t>
  </si>
  <si>
    <t>9:30 PM – 6:30 AM (IST)</t>
  </si>
  <si>
    <t>Shift Timing (CET)</t>
  </si>
  <si>
    <t>1:30 AM – 10:30 AM (CET)</t>
  </si>
  <si>
    <t>9:30 AM – 06:30 PM (CET)</t>
  </si>
  <si>
    <t>2:00 PM – 11:00 PM (CET)</t>
  </si>
  <si>
    <t>5:00 PM – 02:00 AM (CET)</t>
  </si>
  <si>
    <t>Shift Timing (EST)</t>
  </si>
  <si>
    <t>7:30 PM – 4:30 AM (EST)</t>
  </si>
  <si>
    <t>3:30 AM – 12:30 PM (EST)</t>
  </si>
  <si>
    <t>8:00 AM – 5:00 PM (EST)</t>
  </si>
  <si>
    <t>08:00 AM – 5:00 PM (PST)</t>
  </si>
  <si>
    <t>Application</t>
  </si>
  <si>
    <t>Associate Name</t>
  </si>
  <si>
    <t>FME - Email</t>
  </si>
  <si>
    <t>CTS ID</t>
  </si>
  <si>
    <t>Contact No</t>
  </si>
  <si>
    <t xml:space="preserve">Type </t>
  </si>
  <si>
    <t>24*5</t>
  </si>
  <si>
    <t>Renate / Miklos</t>
  </si>
  <si>
    <t>Kaushik Kandagatla</t>
  </si>
  <si>
    <t>kandagatla.kaushik@freseniusmedicalcare.com</t>
  </si>
  <si>
    <t>+91 9398549213</t>
  </si>
  <si>
    <t>Primary</t>
  </si>
  <si>
    <t>Sagar Kaware</t>
  </si>
  <si>
    <t>sagar.kaware@freseniusmedicalcare.com</t>
  </si>
  <si>
    <t>+49 15124631682</t>
  </si>
  <si>
    <t>Gowthami Konduri</t>
  </si>
  <si>
    <t>gowthami.konduri@freseniusmedicalcare.com</t>
  </si>
  <si>
    <t>+1 4376613375</t>
  </si>
  <si>
    <t>Divya Unnikrishnan</t>
  </si>
  <si>
    <t>divya.unnikrishnan@freseniusmedicalcare.com</t>
  </si>
  <si>
    <t>+1 77 86 32 0220</t>
  </si>
  <si>
    <t>Diksha Kokadwar</t>
  </si>
  <si>
    <t>diksha.kokadwar@freseniusmedicalcare.com</t>
  </si>
  <si>
    <t>+91 8600482848</t>
  </si>
  <si>
    <t>TWX</t>
  </si>
  <si>
    <t>Surender / Renate</t>
  </si>
  <si>
    <t>Bhargavi Alapati</t>
  </si>
  <si>
    <t>alapati.bhargavi@freseniusmedicalcare.com</t>
  </si>
  <si>
    <t>+91 7702394457</t>
  </si>
  <si>
    <t>Anoop Sarkar</t>
  </si>
  <si>
    <t>anoopanand.sarkar@freseniusmedicalcare.com</t>
  </si>
  <si>
    <t>+91 9834330308</t>
  </si>
  <si>
    <t>Manoj Yamala</t>
  </si>
  <si>
    <t>manoj.yamala@freseniusmedicalcare.com</t>
  </si>
  <si>
    <t>+91 7730932926</t>
  </si>
  <si>
    <t>Windchill GPDM/QDOK</t>
  </si>
  <si>
    <t>Ravi/ Ragu/ Ritesh</t>
  </si>
  <si>
    <t>Spoorthy HR</t>
  </si>
  <si>
    <t>spoorthy.hr1@freseniusmedicalcare.com</t>
  </si>
  <si>
    <t>+91 91085 55623</t>
  </si>
  <si>
    <t>Windchill GPDM</t>
  </si>
  <si>
    <t>Shashank Purohit</t>
  </si>
  <si>
    <t>shashank.purohit1@freseniusmedicalcare.com</t>
  </si>
  <si>
    <t>+91 8826245403</t>
  </si>
  <si>
    <t>Akriti Vats</t>
  </si>
  <si>
    <t>akriti.vats@freseniusmedicalcare.com</t>
  </si>
  <si>
    <t>+91 8510070608</t>
  </si>
  <si>
    <t>Sakshi Bhuse</t>
  </si>
  <si>
    <t>sakshirajshekhar.bhuse@freseniusmedicalcare.com</t>
  </si>
  <si>
    <t>+91 9834314522</t>
  </si>
  <si>
    <t>Gourav Patnaik</t>
  </si>
  <si>
    <t>gouravkumar.patnaik@freseniusmedicalcare.com</t>
  </si>
  <si>
    <t>+91 9853142158</t>
  </si>
  <si>
    <t>Goutam BM</t>
  </si>
  <si>
    <t>goutam.bhadravti-mohan@freseniusmedicalcare.com</t>
  </si>
  <si>
    <t>+91 9632318013</t>
  </si>
  <si>
    <t>Nikhil Bhiste</t>
  </si>
  <si>
    <t>nikhil.bhiste@freseniusmedicalcare.com</t>
  </si>
  <si>
    <t>+91 8149828774</t>
  </si>
  <si>
    <t xml:space="preserve">Venkata Subba Reddy Varra </t>
  </si>
  <si>
    <t>venkatasubbareddy.varra@freseniusmedicalcare.com</t>
  </si>
  <si>
    <t>+91 7036172413</t>
  </si>
  <si>
    <t>Vinoth Kumar</t>
  </si>
  <si>
    <t>vinothkumar.udhayakumar@freseniusmedicalcare.com</t>
  </si>
  <si>
    <t>+91 9551558559</t>
  </si>
  <si>
    <t>Windchill NA</t>
  </si>
  <si>
    <t>Ravi</t>
  </si>
  <si>
    <t>Vaibhav Kolekar</t>
  </si>
  <si>
    <t>kolekar.vaibhavsunil@freseniusmedicalcare.com</t>
  </si>
  <si>
    <t>+91 9067233323</t>
  </si>
  <si>
    <t>Prasanthi Allam</t>
  </si>
  <si>
    <t>allam.prasanthi@freseniusmedicalcare.com</t>
  </si>
  <si>
    <t>+91 6300723778</t>
  </si>
  <si>
    <t>Pushpa Patil</t>
  </si>
  <si>
    <t>pushpa.gajananpatil@freseniusmedicalcare.com</t>
  </si>
  <si>
    <t>+91 8208830014</t>
  </si>
  <si>
    <t> </t>
  </si>
  <si>
    <t>Jhansi Gowroju</t>
  </si>
  <si>
    <t>gowroju.jhansi@freseniusmedicalcare.com</t>
  </si>
  <si>
    <t>+91 8498809471</t>
  </si>
  <si>
    <t>Shift Timing</t>
  </si>
  <si>
    <t>11:00 AM to 09:00 PM (IST)
06:30 AM to 04:30 PM (CET)
12:30 AM to 10:30 AM (EST)</t>
  </si>
  <si>
    <t>06:00 AM to 04:00 PM (IST)
01:30 AM to 11:30 AM (CET)
07:30 PM to 05:30 AM (EST)</t>
  </si>
  <si>
    <t>11:30 AM to 9:30 PM (IST)
07:00 AM to 06:00 PM (CET)
01:00 AM to 11:00 AM (EST)</t>
  </si>
  <si>
    <t>05:30 PM to 3:30 AM (IST)
01:00 PM to 11:00 PM (CET)
07:00 AM to 05:00 PM (EST)</t>
  </si>
  <si>
    <t>09:00 PM – 07:00 AM (IST)				
04:30 PM – 2:30 AM (CET)				
10:30 AM – 08:30 PM (EST)</t>
  </si>
  <si>
    <t>ID</t>
  </si>
  <si>
    <t>App</t>
  </si>
  <si>
    <t>Associate ID</t>
  </si>
  <si>
    <t>Arunkumar S</t>
  </si>
  <si>
    <t>arunkumar.s@freseniusmedicalcare.com</t>
  </si>
  <si>
    <t>"+91-9940699661"</t>
  </si>
  <si>
    <t>Thangappan, Arunpandi</t>
  </si>
  <si>
    <t>arunpandi.thangappan@freseniusmedicalcare.com</t>
  </si>
  <si>
    <t>"+91-8610088276"</t>
  </si>
  <si>
    <t>Arunprasath Sivasamy</t>
  </si>
  <si>
    <t>arunprasath.s@freseniusmedicalcare.com</t>
  </si>
  <si>
    <t>"+91-9003701020"</t>
  </si>
  <si>
    <t>Jeevan Empati
Vaishali Patel
Vinish Kumar</t>
  </si>
  <si>
    <t xml:space="preserve">jeevan.empati@freseniusmedicalcare.com
vinishkumar.vijayakumarmallika@freseniusmedicalcare.com
vaishali.patel@freseniusmedicalcare.com
</t>
  </si>
  <si>
    <t>+91-9030962553
+91-9009419200
+91-8940781978</t>
  </si>
  <si>
    <t>Primary
Secondary
Secondary</t>
  </si>
  <si>
    <t>Silpa C</t>
  </si>
  <si>
    <t>silpa.c@freseniusmedicalcare.com</t>
  </si>
  <si>
    <t>+91-9496719262</t>
  </si>
  <si>
    <t>Rajesh Kumar E
Ganesh G
A, Prasanth</t>
  </si>
  <si>
    <t>rajeshkumar.e@freseniusmedicalcare.com
prasanth.a@freseniusmedicalcare.com
ganesh.g@freseniusmedicalcare.com</t>
  </si>
  <si>
    <t>"+91-8825996657"
"+91-9500901036"
"+91 9698782477"</t>
  </si>
  <si>
    <t>Pooja PH
Deva Darshini S
Duvvi Vinod Kumar</t>
  </si>
  <si>
    <t>pooja.ph@freseniusmedicalcare.com
deva.darshinis@freseniusmedicalcare.com
vinodkumar.duvvi@freseniusmedicalcare.com</t>
  </si>
  <si>
    <t>+91-8190882020
+91-7981947799
+91-7010488802</t>
  </si>
  <si>
    <t>Pooja PH</t>
  </si>
  <si>
    <t>pooja.ph@freseniusmedicalcare.com</t>
  </si>
  <si>
    <t>+91-8190882020</t>
  </si>
  <si>
    <t>Secondary</t>
  </si>
  <si>
    <t xml:space="preserve">Yenamala Murali </t>
  </si>
  <si>
    <t>muraligopalakrishna.yenamala@freseniusmedicalcare.com</t>
  </si>
  <si>
    <t>"+1-5083081308"</t>
  </si>
  <si>
    <t>Gadipelli, Srivarsha</t>
  </si>
  <si>
    <t>srivarsha.gadipelli@freseniusmedicalcare.com</t>
  </si>
  <si>
    <t>"+91-8328479334"</t>
  </si>
  <si>
    <t>Naren Elango</t>
  </si>
  <si>
    <t>naren.elango@freseniusmedicalcare.com</t>
  </si>
  <si>
    <t>+91-9952973703</t>
  </si>
  <si>
    <t>Hariharan, Varsha</t>
  </si>
  <si>
    <t>varsha.hariharan@freseniusmedicalcare.com</t>
  </si>
  <si>
    <t>"+91-9047027783"</t>
  </si>
  <si>
    <t>Vinay Kumar</t>
  </si>
  <si>
    <t>vinay.kumar@freseniusmedicalcare.com</t>
  </si>
  <si>
    <t>+1 4376799099</t>
  </si>
  <si>
    <t>varsha.hariharan@freseniusmedicalcare.com
rohit.prasad@freseniusmedicalcare.com</t>
  </si>
  <si>
    <t>"+91-9047027783"
"+91-7663909594"</t>
  </si>
  <si>
    <t>Rohit Prasad</t>
  </si>
  <si>
    <t>rohit.prasad@freseniusmedicalcare.com</t>
  </si>
  <si>
    <t>"+91-7663909594"</t>
  </si>
  <si>
    <t>Solanki, Sagar</t>
  </si>
  <si>
    <t>sagar.solanki@freseniusmedicalcare.com</t>
  </si>
  <si>
    <t>"+91-909287017"</t>
  </si>
  <si>
    <t>on call</t>
  </si>
  <si>
    <t>App is listed as 24X5 , we have concurrence from Harald to operate in single shift for some time based on volume we will add people across shifts. Shared the email with Ritesh for reference</t>
  </si>
  <si>
    <t>Sreevarsha
B Vinod Kumar</t>
  </si>
  <si>
    <t>sreevarsha.vuppala@freseniusmedicalcare.com
bvinod.kumar@freseniusmedicalcare.com</t>
  </si>
  <si>
    <t>+91-9000094243
+91-6369597827</t>
  </si>
  <si>
    <t>Primary
Secondary</t>
  </si>
  <si>
    <t xml:space="preserve">Nagraj
Manjunath R
</t>
  </si>
  <si>
    <t xml:space="preserve">nagraj.lnu@freseniusmedicalcare.com
manjunath.r@freseniusmedicalcare.com
</t>
  </si>
  <si>
    <t xml:space="preserve"> +91-7760825713
+91-7411861544</t>
  </si>
  <si>
    <t xml:space="preserve">Primary
</t>
  </si>
  <si>
    <t>SaiNivedita</t>
  </si>
  <si>
    <t>sainivedita.venishetty@freseniusmedicalcare.com</t>
  </si>
  <si>
    <t>+1 (401) 688-0356</t>
  </si>
  <si>
    <t xml:space="preserve">Ramya R 
Vaishali Patel 
Betty Theresa </t>
  </si>
  <si>
    <t xml:space="preserve">ramya.r@freseniusmedicalcare.com
vaishali.patel@freseniusmedicalcare.com
</t>
  </si>
  <si>
    <t xml:space="preserve">"+91-7092048459"
"+91-9009419200" </t>
  </si>
  <si>
    <t xml:space="preserve">On call </t>
  </si>
  <si>
    <t>Artifactory</t>
  </si>
  <si>
    <t>Added in PLM Sheet</t>
  </si>
  <si>
    <t>Vinishkumar
Yasaswini Biragi
Ravichandran</t>
  </si>
  <si>
    <t>vinishkumar.vijayakumarmallika@freseniusmedicalcare.com
yasaswini.biragi@freseniusmedicalcare.com
ravichandran.ponnusamy@freseniusmedicalcare.com</t>
  </si>
  <si>
    <t>+91- 8940781978
+91-9390554508
+91- 9940061650</t>
  </si>
  <si>
    <t>Primary
Primary
Secondary</t>
  </si>
  <si>
    <t>Azure: Training Material</t>
  </si>
  <si>
    <t>Silpa C
Vinishkumar</t>
  </si>
  <si>
    <t>silpa.c@freseniusmedicalcare.com
vinishkumar.vijayakumarmallika@freseniusmedicalcare.com</t>
  </si>
  <si>
    <t>+91-9496719262
+91- 8940781978</t>
  </si>
  <si>
    <t>Naren to get the email to share the concurrence</t>
  </si>
  <si>
    <t>IQVIA RIMS</t>
  </si>
  <si>
    <t>Sreevarsha</t>
  </si>
  <si>
    <t>sreevarsha.vuppala@freseniusmedicalcare.com</t>
  </si>
  <si>
    <t xml:space="preserve"> +91-9000094243</t>
  </si>
  <si>
    <t>Seebuger L1.5'!A1</t>
  </si>
  <si>
    <t>Joyson A (Seeburger)
Ravi Babu Gurram (SAP)</t>
  </si>
  <si>
    <t>joyson.a@freseniusmedicalcare.com
ravibabu.gurram@freseniusmedicalcare.com</t>
  </si>
  <si>
    <t>769836
817399</t>
  </si>
  <si>
    <t>+91-9110738444
+91-9980077330</t>
  </si>
  <si>
    <t xml:space="preserve">Primary
Primary
</t>
  </si>
  <si>
    <t>Abdul Kalam Akula (SAP)</t>
  </si>
  <si>
    <t>abdulkalam.akula@freseniusmedicalcare.com</t>
  </si>
  <si>
    <t>+1-2345675554</t>
  </si>
  <si>
    <t>IST</t>
  </si>
  <si>
    <t>10:00 AM – 7:00 PM (IST)</t>
  </si>
  <si>
    <t>7:00 PM – 4:00 AM (IST)</t>
  </si>
  <si>
    <t>CET</t>
  </si>
  <si>
    <t>2:30 AM – 11:30 AM (CET)</t>
  </si>
  <si>
    <t>06:30 AM – 3:30 PM (CET)</t>
  </si>
  <si>
    <t>3:30 PM – 12:30 AM (CET)</t>
  </si>
  <si>
    <t>EST</t>
  </si>
  <si>
    <t>8:30 PM – 5:30 AM (EST)</t>
  </si>
  <si>
    <t>00:30 AM – 9:30 AM (EST)</t>
  </si>
  <si>
    <t>9:30 AM – 6:30 PM (EST)</t>
  </si>
  <si>
    <t>FME - ZID</t>
  </si>
  <si>
    <t>Z00662380</t>
  </si>
  <si>
    <t>Z00662384</t>
  </si>
  <si>
    <t>Z00664503</t>
  </si>
  <si>
    <t>Z00666701</t>
  </si>
  <si>
    <t>Z00662366</t>
  </si>
  <si>
    <t>Z00666776</t>
  </si>
  <si>
    <t>Surender / Reanate</t>
  </si>
  <si>
    <t>GPDM</t>
  </si>
  <si>
    <t>Ritesh / Ravi</t>
  </si>
  <si>
    <t>Z00662372</t>
  </si>
  <si>
    <t>Z00662385</t>
  </si>
  <si>
    <t>Z00662945</t>
  </si>
  <si>
    <t>Z00662381</t>
  </si>
  <si>
    <t>Shahabaz Patel</t>
  </si>
  <si>
    <t>Z00664502</t>
  </si>
  <si>
    <t>+91 7350807999</t>
  </si>
  <si>
    <t>Z00663739</t>
  </si>
  <si>
    <t>Nitin Jain</t>
  </si>
  <si>
    <t>Z00662398</t>
  </si>
  <si>
    <t>+91 8197683304</t>
  </si>
  <si>
    <t>Harsh Verma</t>
  </si>
  <si>
    <t>Z00666777</t>
  </si>
  <si>
    <t>+91 6395133167</t>
  </si>
  <si>
    <t>Z00666377</t>
  </si>
  <si>
    <t>Z00662373</t>
  </si>
  <si>
    <t>GPDM/QDOK</t>
  </si>
  <si>
    <t>Z00662626</t>
  </si>
  <si>
    <t>Z00662944</t>
  </si>
  <si>
    <t>NA</t>
  </si>
  <si>
    <t>Ravi / Ritesh</t>
  </si>
  <si>
    <t>Shift Roster for Dec - 2025</t>
  </si>
  <si>
    <t xml:space="preserve">Email </t>
  </si>
  <si>
    <t>Contact</t>
  </si>
  <si>
    <t>Esakkiappan</t>
  </si>
  <si>
    <t>esakkiappan.meenakshisundaram@freseniusmedicalcare.com</t>
  </si>
  <si>
    <t>+91 9566096398</t>
  </si>
  <si>
    <t>General</t>
  </si>
  <si>
    <t>Night</t>
  </si>
  <si>
    <t>WO</t>
  </si>
  <si>
    <t>Morning</t>
  </si>
  <si>
    <t>Leave</t>
  </si>
  <si>
    <t>Sampada</t>
  </si>
  <si>
    <t>sampada.shahapure@freseniusmedicalcare.com</t>
  </si>
  <si>
    <t>+91 9421247964</t>
  </si>
  <si>
    <t>Remijious</t>
  </si>
  <si>
    <t>remijious.jebamalai@freseniusmedicalcare.com</t>
  </si>
  <si>
    <t>+91 9790793543</t>
  </si>
  <si>
    <t>Sneha</t>
  </si>
  <si>
    <t>sneha.m@freseniusmedicalcare.com</t>
  </si>
  <si>
    <t>+91 9092429640</t>
  </si>
  <si>
    <t>Ayush</t>
  </si>
  <si>
    <t>ayush.kumar2@freseniusmedicalcare.com</t>
  </si>
  <si>
    <t>+91 7004996553</t>
  </si>
  <si>
    <t>Padma (Backup)</t>
  </si>
  <si>
    <t>venkatapadmavathi.thota@freseniusmedicalcare.com</t>
  </si>
  <si>
    <t>Anushah( Backup)</t>
  </si>
  <si>
    <t>nirmala.s@freseniusmedicalcare.com</t>
  </si>
  <si>
    <t>Shift Details</t>
  </si>
  <si>
    <t>06:00 AM - 04:00 PM  (IST)
01:30 AM - 11:30 AM (CET)
07:30 AM - 05:30 AM (EST)</t>
  </si>
  <si>
    <t>12:30 PM - 10:30 PM (IST)
08:00 AM - 06:00 PM (CET)
02:00 AM -  12:00 PM(EST)</t>
  </si>
  <si>
    <t>10:00 PM - 8:00 AM  (IST)
05-30 PM - 03:30 AM (CET)  
11:30 AM - 09:30 PM (EST)</t>
  </si>
  <si>
    <t>Support Assignment Group/Project Name(QuickService)</t>
  </si>
  <si>
    <t>ITSM Tool</t>
  </si>
  <si>
    <t>Team Member Names</t>
  </si>
  <si>
    <t>MI Teams Call Access Requested for key resources</t>
  </si>
  <si>
    <t>Request Status</t>
  </si>
  <si>
    <t>FME IT Lead name is validated by CTS lead?</t>
  </si>
  <si>
    <t>Add FME Lead contact details</t>
  </si>
  <si>
    <t>CTS Lead discussed the MI Process with FME Lead</t>
  </si>
  <si>
    <t>Business Service Offering</t>
  </si>
  <si>
    <t>TAG</t>
  </si>
  <si>
    <t>Assignment Group</t>
  </si>
  <si>
    <t>Azure: ICC External Portal</t>
  </si>
  <si>
    <t>ITS-GLOBAL-BPI-ICC_Sharepoint-L2</t>
  </si>
  <si>
    <t>ServiceNow</t>
  </si>
  <si>
    <t>Vinish Kumar
vinishkumar.v.m@cognizant.com</t>
  </si>
  <si>
    <t>Vinish Kumar</t>
  </si>
  <si>
    <t xml:space="preserve">Access Acquired </t>
  </si>
  <si>
    <t>Yes</t>
  </si>
  <si>
    <t>Ravichandran Ponnuswamy
Vinish Kumar</t>
  </si>
  <si>
    <t>ITS-GLOBAL-ADEX-CE_BXS_JIRA-L2
ITS-GLOBAL-ADEX-CE_BXS_JIRA-L3</t>
  </si>
  <si>
    <t>Vinish Kumar
Vaishali Patel
Jeevan Empati</t>
  </si>
  <si>
    <t>Jeevan Empati</t>
  </si>
  <si>
    <t>Fatima.Raza@freseniusmedicalcare.com</t>
  </si>
  <si>
    <t>DTI-ECOE-NA RTG Salesforce Support</t>
  </si>
  <si>
    <t>Varsha Hariharan
Vinay Kumar (onsite)</t>
  </si>
  <si>
    <t>Varsha Hariharan</t>
  </si>
  <si>
    <t>+1 8574246599</t>
  </si>
  <si>
    <t>Varsha Hariharan
Rohit Prasad
Vinay Kumar (onsite)</t>
  </si>
  <si>
    <t>DTI-GLOBAL-EUX-NxStage SalesForce - L3</t>
  </si>
  <si>
    <t>+1 7813545262</t>
  </si>
  <si>
    <t>DTI-LATAM-ALL-ADEX-Apttus-L1</t>
  </si>
  <si>
    <t>Rohit Prasad
Vinay Kumar (onsite)</t>
  </si>
  <si>
    <t>+55 21 21790129</t>
  </si>
  <si>
    <t>DTI-Global-CAP-ADEX-Mobile_Application_Solutions - L2
DTI-Global -CAP-ADEX-Mobile_Application_Solutions - L3</t>
  </si>
  <si>
    <t>Arunpandi Thangappan</t>
  </si>
  <si>
    <t>+49 1723199082</t>
  </si>
  <si>
    <t>ITS-NA-EACOE-AppConnect-L1</t>
  </si>
  <si>
    <t>Srivarsha Gadipelli</t>
  </si>
  <si>
    <t>+1 4086368906(Panthal)</t>
  </si>
  <si>
    <t>ITS-GLOBAL-ADEX-CQT_APP_SUPPORT-L2</t>
  </si>
  <si>
    <t xml:space="preserve">Pooja PH
Duvvi Vinod Kumar
Deva Darshini S
</t>
  </si>
  <si>
    <t>In Progress</t>
  </si>
  <si>
    <t>+4961722686662(Andreas)
+4961722685955 (Helena)</t>
  </si>
  <si>
    <t xml:space="preserve">No Tickets </t>
  </si>
  <si>
    <t>GPDM Polarion</t>
  </si>
  <si>
    <t>Quick Service</t>
  </si>
  <si>
    <t>Sagar Kaware (onsite) 
Kaushik Kandagatla
Diksha Kokadwar
Gowthami Konduri (onsite)
Divya Unnikrishnan (onsite)</t>
  </si>
  <si>
    <t>Goutam Bhadravti Mohan 
Sagar Kaware</t>
  </si>
  <si>
    <t>+4961722688703 (Renate)
+36 70 665 4366(Miklos)</t>
  </si>
  <si>
    <t>ITS-GLOBAL-ADEX-Conga_CLM-CPQ-L2</t>
  </si>
  <si>
    <t>+1 440-941-7383</t>
  </si>
  <si>
    <t>ITS-GLOBAL-ADEX-BI_CE-L2</t>
  </si>
  <si>
    <t>Rajesh Kumar E</t>
  </si>
  <si>
    <t>Eric Lucas &lt;eric.lucas@freseniusmedicalcare.com&gt;
+1-508-688-7158</t>
  </si>
  <si>
    <t>GPDM Windchill</t>
  </si>
  <si>
    <t>Jeffrey Norton</t>
  </si>
  <si>
    <t>Nitin Jain
Bhargavi Alapati
Venkata Subba Reddy Varra
Shashank Purohit 
Vinoth Kumar 
Gourav Kumar P
Gowthami Konduri (onsite)
Divya Unnikrishnan (onsite)</t>
  </si>
  <si>
    <t xml:space="preserve">Ravi Vuta:
+17816909434 (mobile) 
+17816992739 (office) </t>
  </si>
  <si>
    <t>Divya Unnikrishnan 
divya.unnikrishnan@cognizant.com</t>
  </si>
  <si>
    <t>Nikhil Bhiste
Divya Unnikrishnan (onsite)
Gowthami Konduri (onsite)</t>
  </si>
  <si>
    <t>GPDM Engineering Tools</t>
  </si>
  <si>
    <t>Work : +49 972167841080
Email : harald.villinger@freseniusmedicalcare.com</t>
  </si>
  <si>
    <t>Yes ,Harald is checking internally on existing process</t>
  </si>
  <si>
    <t>VIIMA</t>
  </si>
  <si>
    <t>ITS-GLOBAL-ADEX-VIIMA-L2</t>
  </si>
  <si>
    <t xml:space="preserve">Updated </t>
  </si>
  <si>
    <t>Work:+41 79 627 53 00
olivier.debruijn@freseniusmedicalcare.com</t>
  </si>
  <si>
    <t>Regulatory Information Management system</t>
  </si>
  <si>
    <t>Nagraj LNU
Manjunath R
Sreevarsha Vuppala
Vinod B Kumar
Sai Nivedita Venishetty (onsite)</t>
  </si>
  <si>
    <t>SaiNivedita Venishetty</t>
  </si>
  <si>
    <t>+1 6506953691</t>
  </si>
  <si>
    <t>QTRAK ServiceDesk</t>
  </si>
  <si>
    <t>Nagraj LNU</t>
  </si>
  <si>
    <t>ITS-GLOBAL-ADEX-Modern_Req-L2</t>
  </si>
  <si>
    <t xml:space="preserve">Murali Yenamala (onsite)
Pooja PH
</t>
  </si>
  <si>
    <t>Murali Yenamala</t>
  </si>
  <si>
    <t>+41 79 627 53 00</t>
  </si>
  <si>
    <t>DTI-EACOE-EDI Seeburger - L1
ITS-GLOBAL-ADEX-Seeburger-L2</t>
  </si>
  <si>
    <t>kondal.reddy.kasireddy@freseniusmedicalcare.com</t>
  </si>
  <si>
    <t>Joyson A
Ravi Babu Gurram
AbdulKalam Akula (onsite)</t>
  </si>
  <si>
    <t>Joyson A</t>
  </si>
  <si>
    <t>+1 6313747158</t>
  </si>
  <si>
    <r>
      <rPr>
        <sz val="10"/>
        <color rgb="FF000000"/>
        <rFont val="Calibri"/>
      </rPr>
      <t>PTC ThingWorx (</t>
    </r>
    <r>
      <rPr>
        <b/>
        <sz val="11"/>
        <color rgb="FF000000"/>
        <rFont val="Aptos"/>
      </rPr>
      <t>Global Product Risk Tool</t>
    </r>
    <r>
      <rPr>
        <sz val="11"/>
        <color rgb="FF000000"/>
        <rFont val="Aptos"/>
      </rPr>
      <t>)</t>
    </r>
  </si>
  <si>
    <t>Manoj Yamala
Anoop Sarkar
Gowthami Konduri (onsite)
Divya Unnikrishnan (onsite)</t>
  </si>
  <si>
    <t xml:space="preserve">Surender Reddy Muddam:
Work: +499721678776
Mobile: +491723823864 </t>
  </si>
  <si>
    <t>+49 1511 8400742</t>
  </si>
  <si>
    <t>M +49 162 488 26 12</t>
  </si>
  <si>
    <t>Compliance Wire</t>
  </si>
  <si>
    <t>Arun Kumar S</t>
  </si>
  <si>
    <t>617-513-7704</t>
  </si>
  <si>
    <t>DTI-EACOE-Windchill IT - L2</t>
  </si>
  <si>
    <t>Akriti Vats
Vaibhav Kolekar
Pushpa Gajanan Patil
Prasanthi Allam
Divya Unnikrishnan (onsite)
Gowthami Konduri (onsite)</t>
  </si>
  <si>
    <t>Divya Unnikrishnan
Akriti Vats</t>
  </si>
  <si>
    <t>SHIFT AND ONCALL SCHEDULE
(Off-Shore Cloud Infrastructure Operations team) IO</t>
  </si>
  <si>
    <t xml:space="preserve">OC-P = On Call Primary </t>
  </si>
  <si>
    <t>( Only support through On-Call)</t>
  </si>
  <si>
    <t>On-Call Start (CEST)</t>
  </si>
  <si>
    <t>On-Call Finsh(CEST)</t>
  </si>
  <si>
    <t>On-Call Start (IST)</t>
  </si>
  <si>
    <t>On-Call Finsh(IST)</t>
  </si>
  <si>
    <t>OC-S = On Call Seconday</t>
  </si>
  <si>
    <t>Monday - Friday:</t>
  </si>
  <si>
    <t>03:00 AM (Next Day)</t>
  </si>
  <si>
    <t>06:30 AM (Next Day)</t>
  </si>
  <si>
    <t xml:space="preserve">OC = A2 + On-call( 10.00PM to 06.30 AM)          </t>
  </si>
  <si>
    <t>Saturday:</t>
  </si>
  <si>
    <t>A1 = 06:30 AM to 04:30 PM (IST)</t>
  </si>
  <si>
    <t>Sunday:</t>
  </si>
  <si>
    <t>3:00 AM (Next Day)</t>
  </si>
  <si>
    <t>A2= 10:00 AM to 08:00 PM (IST)</t>
  </si>
  <si>
    <t>A3 = 12:00 PM to 10.00 PM (IST)</t>
  </si>
  <si>
    <t>WO = Week Off</t>
  </si>
  <si>
    <t>PH = Public Holiday</t>
  </si>
  <si>
    <t>IO Escalation POC</t>
  </si>
  <si>
    <t>PL = Planned Leave</t>
  </si>
  <si>
    <t>Arun Kumar Vellaichamy: +919940414358</t>
  </si>
  <si>
    <t>EL = Emergency Leave</t>
  </si>
  <si>
    <t>Sunil Kumar Panigrahi : +91 7829725164</t>
  </si>
  <si>
    <t>SL = Sick Leave</t>
  </si>
  <si>
    <t>Resource name</t>
  </si>
  <si>
    <t>Arun.Vellaichamy</t>
  </si>
  <si>
    <t>Hemalatha.Rajagopalan</t>
  </si>
  <si>
    <t>Brajaballav.Nath</t>
  </si>
  <si>
    <t>Shagun.Singh</t>
  </si>
  <si>
    <t>Krishna.Sahu</t>
  </si>
  <si>
    <t>Ishani.Mishra</t>
  </si>
  <si>
    <t>Ragupathi.Shangmugam</t>
  </si>
  <si>
    <t>Location</t>
  </si>
  <si>
    <t>Chennai</t>
  </si>
  <si>
    <t>Bangalore</t>
  </si>
  <si>
    <t>Noida</t>
  </si>
  <si>
    <t>Hydrebad</t>
  </si>
  <si>
    <t>Coimbatore</t>
  </si>
  <si>
    <t>Contact No.</t>
  </si>
  <si>
    <t xml:space="preserve"> +91 9940414358</t>
  </si>
  <si>
    <t xml:space="preserve"> +91 9597259025</t>
  </si>
  <si>
    <t>+91 8329147932</t>
  </si>
  <si>
    <t>+91 8278797577</t>
  </si>
  <si>
    <t>+91 9691718934</t>
  </si>
  <si>
    <t>+91-9337531233</t>
  </si>
  <si>
    <t>+91 8825641617</t>
  </si>
  <si>
    <t>Date</t>
  </si>
  <si>
    <t>Day</t>
  </si>
  <si>
    <t>Monday</t>
  </si>
  <si>
    <t>PL</t>
  </si>
  <si>
    <t>A3</t>
  </si>
  <si>
    <t>OC</t>
  </si>
  <si>
    <t>A1</t>
  </si>
  <si>
    <t>A2</t>
  </si>
  <si>
    <t>Tuesday</t>
  </si>
  <si>
    <t>PH</t>
  </si>
  <si>
    <t>Wednesday</t>
  </si>
  <si>
    <t>Thursday</t>
  </si>
  <si>
    <t>Friday</t>
  </si>
  <si>
    <t>Saturday</t>
  </si>
  <si>
    <t>OC-P</t>
  </si>
  <si>
    <t>OC-S</t>
  </si>
  <si>
    <t>Sunday</t>
  </si>
  <si>
    <t>Mon
01</t>
  </si>
  <si>
    <t>Tue
02</t>
  </si>
  <si>
    <t>Wed
03</t>
  </si>
  <si>
    <t>Thu
04</t>
  </si>
  <si>
    <t>Fri
05</t>
  </si>
  <si>
    <t>Sat
06</t>
  </si>
  <si>
    <t>Sun
07</t>
  </si>
  <si>
    <t>Mon
08</t>
  </si>
  <si>
    <t>Tue
09</t>
  </si>
  <si>
    <t>Wed
10</t>
  </si>
  <si>
    <t>Thu
11</t>
  </si>
  <si>
    <t>Fri
12</t>
  </si>
  <si>
    <t>Sat
13</t>
  </si>
  <si>
    <t>Sun
14</t>
  </si>
  <si>
    <t>Mon
15</t>
  </si>
  <si>
    <t>Tue
16</t>
  </si>
  <si>
    <t>Wed
17</t>
  </si>
  <si>
    <t>Thu
18</t>
  </si>
  <si>
    <t>Fri
19</t>
  </si>
  <si>
    <t>Sat
20</t>
  </si>
  <si>
    <t>Sun
21</t>
  </si>
  <si>
    <t>Mon
22</t>
  </si>
  <si>
    <t>Tue
23</t>
  </si>
  <si>
    <t>Wed
24</t>
  </si>
  <si>
    <t>Thu
25</t>
  </si>
  <si>
    <t>Fri
26</t>
  </si>
  <si>
    <t>Sat
27</t>
  </si>
  <si>
    <t>Sun
28</t>
  </si>
  <si>
    <t>Mon
29</t>
  </si>
  <si>
    <t>Tue
30</t>
  </si>
  <si>
    <t>Padma Thota</t>
  </si>
  <si>
    <t>S1</t>
  </si>
  <si>
    <t>OFF</t>
  </si>
  <si>
    <t>S1.5</t>
  </si>
  <si>
    <t>P.Leave</t>
  </si>
  <si>
    <t>S2</t>
  </si>
  <si>
    <t>S5</t>
  </si>
  <si>
    <t>Anushah</t>
  </si>
  <si>
    <t xml:space="preserve">Arunprashanth </t>
  </si>
  <si>
    <t>S3</t>
  </si>
  <si>
    <t xml:space="preserve">Sivakumar </t>
  </si>
  <si>
    <t>Nirmala</t>
  </si>
  <si>
    <t>S6</t>
  </si>
  <si>
    <t>Shift</t>
  </si>
  <si>
    <t>6:00 AM to 4:00 PM</t>
  </si>
  <si>
    <t>9:00 AM to 7:00 PM</t>
  </si>
  <si>
    <t>11:30 AM to 09:30 PM</t>
  </si>
  <si>
    <t>2.00 PM to 12.00 AM</t>
  </si>
  <si>
    <t>S4</t>
  </si>
  <si>
    <t>5:30 PM to 3:30 AM</t>
  </si>
  <si>
    <t>7:00 PM to 5:00 AM</t>
  </si>
  <si>
    <t>8.30 PM to 06.30 AM</t>
  </si>
  <si>
    <t>Name/Date</t>
  </si>
  <si>
    <t>FME Email</t>
  </si>
  <si>
    <t>Mobile #</t>
  </si>
  <si>
    <t>Applications/ SL</t>
  </si>
  <si>
    <t>sivakumar.k@freseniusmedicalcare.com</t>
  </si>
  <si>
    <t>IOT &amp; AIA</t>
  </si>
  <si>
    <t>Anusha</t>
  </si>
  <si>
    <t>anushah.s@freseniusmedicalcare.com</t>
  </si>
  <si>
    <t>arunprasanth.sridhar@freseniusmedicalcare.com</t>
  </si>
  <si>
    <t>Faizan</t>
  </si>
  <si>
    <t>faizan.ahmad@freseniusmedicalcare.com</t>
  </si>
  <si>
    <t>Nirmala.s@freseniusmedicalcare.com</t>
  </si>
  <si>
    <t>12.30 PM to 10.30 PM</t>
  </si>
  <si>
    <t>On call (OC)</t>
  </si>
  <si>
    <t>Leave (L)</t>
  </si>
  <si>
    <t>Client holiday (CH)</t>
  </si>
  <si>
    <t>Indian Holiday (IH)</t>
  </si>
  <si>
    <t>Week Off</t>
  </si>
  <si>
    <t>WFH</t>
  </si>
  <si>
    <t>Joyson
joyson.a@cognizant.com</t>
  </si>
  <si>
    <t>Joyson A
joyson.a@cognizant.com</t>
  </si>
  <si>
    <t>vinishkumar.v.m@cognizant.com</t>
  </si>
  <si>
    <t>Jeevan Empati
Jeevan.Empati@cognizant.com</t>
  </si>
  <si>
    <t>Jeevan Empati Jeevan.Empati@cognizant.com</t>
  </si>
  <si>
    <t>Jain.Nitin@cognizant.com</t>
  </si>
  <si>
    <t>Sagar Kaware Sagar.Kaware@cognizant.com</t>
  </si>
  <si>
    <t>akriti.Vats@cognizant.com</t>
  </si>
  <si>
    <t>divya.unnikrishnan@freseniusmedicalcare.com
gowthami.konduri@freseniusmedicalcare.com</t>
  </si>
  <si>
    <t>srinivas.pudari@freseniusmedicalcare.com</t>
  </si>
  <si>
    <t>vineel.Rampally@freseniusmedicalcare.com</t>
  </si>
  <si>
    <t>alexandre.araujo@freseniusmedicalcare.com</t>
  </si>
  <si>
    <t>peter.okumah@freseniusmedicalcare.com</t>
  </si>
  <si>
    <t>Pooja PH Pooja.PH@cognizant.com</t>
  </si>
  <si>
    <t>Name</t>
  </si>
  <si>
    <t>Email Cognizant</t>
  </si>
  <si>
    <t>Email FME</t>
  </si>
  <si>
    <t>Akriti.Vats@cognizant.com</t>
  </si>
  <si>
    <t>Arun.KumarS4@cognizant.com</t>
  </si>
  <si>
    <t>+91 9940699661</t>
  </si>
  <si>
    <t>Arunprasath</t>
  </si>
  <si>
    <t>Arunprasath.S2@cognizant.com</t>
  </si>
  <si>
    <t>+91 9003701020</t>
  </si>
  <si>
    <t>Digvijay Shinde</t>
  </si>
  <si>
    <t>Digvijay.Shinde@cognizant.com</t>
  </si>
  <si>
    <t>digvijay.shinde@freseniusmedicalcare.com</t>
  </si>
  <si>
    <t>+91 8800778710</t>
  </si>
  <si>
    <t>Divya.Unnikrishnan@cognizant.com</t>
  </si>
  <si>
    <t>Divya.Unnikrishnan@freseniusmedicalcare.com</t>
  </si>
  <si>
    <t>+1 7786320220</t>
  </si>
  <si>
    <t>Gowthami.Konduri@cognizant.com</t>
  </si>
  <si>
    <t>Jeevan.Empati@cognizant.com</t>
  </si>
  <si>
    <t>jeevan.empati@freseniusmedicalcare.com</t>
  </si>
  <si>
    <t>+91-9030962553</t>
  </si>
  <si>
    <t>joyson.a@cognizant.com</t>
  </si>
  <si>
    <t>joyson.a@freseniusmedicalcare.com</t>
  </si>
  <si>
    <t>+91 9110738444</t>
  </si>
  <si>
    <t>Manjunath R</t>
  </si>
  <si>
    <t>Manjunath.R3@cognizant.com</t>
  </si>
  <si>
    <t>manjunath.r@freseniusmedicalcare.com</t>
  </si>
  <si>
    <t>+91 7411861544</t>
  </si>
  <si>
    <t>Gopala.YenamalaMurali@cognizant.com</t>
  </si>
  <si>
    <t>+1 5083081308</t>
  </si>
  <si>
    <t>Nagraj.LNU@cognizant.com</t>
  </si>
  <si>
    <t>nagraj.lnu@freseniusmedicalcare.com</t>
  </si>
  <si>
    <t>+91 7760825713</t>
  </si>
  <si>
    <t>Naren.Elango@cognizant.com</t>
  </si>
  <si>
    <t>+91 9952973703</t>
  </si>
  <si>
    <t>Nikhil.Bhiste@cognizant.com</t>
  </si>
  <si>
    <t>jain.nitin@freseniusmedicalcare.com</t>
  </si>
  <si>
    <t>Pooja.PH@cognizant.com</t>
  </si>
  <si>
    <t>Prakash MK</t>
  </si>
  <si>
    <t>Prakash.MK@cognizant.com</t>
  </si>
  <si>
    <t>prakash.mk@freseniusmedicalcare.com</t>
  </si>
  <si>
    <t>+91 9916616642</t>
  </si>
  <si>
    <t>RajeshKumar.E@cognizant.com</t>
  </si>
  <si>
    <t>rajeshkumar.e@freseniusmedicalcare.com</t>
  </si>
  <si>
    <t>+91 8825996657</t>
  </si>
  <si>
    <t>Sagar.Kaware@cognizant.com</t>
  </si>
  <si>
    <t>Sagar Solanki</t>
  </si>
  <si>
    <t>Sagar.Solanki@cognizant.com</t>
  </si>
  <si>
    <t>+91 9909287017</t>
  </si>
  <si>
    <t>Srivarsha.Gadipelli@cognizant.com</t>
  </si>
  <si>
    <t>+91 8328479334</t>
  </si>
  <si>
    <t>Arunpandi.Thangappan@cognizant.com</t>
  </si>
  <si>
    <t>+91 8610088276</t>
  </si>
  <si>
    <t>Varsha.Hariharan@cognizant.com</t>
  </si>
  <si>
    <t>+91 9047027783</t>
  </si>
  <si>
    <t>Vinay.Kumar3106b3@cognizant.com</t>
  </si>
  <si>
    <t>vinishkumar.vijayakumarmallika@freseniusmedicalcare.com</t>
  </si>
  <si>
    <t>+91 8940781978</t>
  </si>
  <si>
    <t>arunkumar.vellaichamy@cognizant.com</t>
  </si>
  <si>
    <t>arunkumar.vellaichamy@freseniusmedicalcare.com</t>
  </si>
  <si>
    <t>+91-9940414358</t>
  </si>
  <si>
    <t>Hemalatha.Rajagopalan@cognizant.com</t>
  </si>
  <si>
    <t>Hemalatha.Rajagopalan@freseniusmedicalcare.com</t>
  </si>
  <si>
    <t>+91-9597259025</t>
  </si>
  <si>
    <t>Brajaballav.Nath@cognizant.com</t>
  </si>
  <si>
    <t>Brajaballav.Nath@freseniusmedicalcare.com</t>
  </si>
  <si>
    <t>+91-8329147932</t>
  </si>
  <si>
    <t>Shagun.Singh2@cognizant.com</t>
  </si>
  <si>
    <t>Shagun.singh@freseniusmedicalcare.com</t>
  </si>
  <si>
    <t>+91-8278797577</t>
  </si>
  <si>
    <t>Krishna.Sahu2@cognizant.com</t>
  </si>
  <si>
    <t>Krishna.Sahu@ext.freseniusmedicalcare.com</t>
  </si>
  <si>
    <t>+91-9691718934</t>
  </si>
  <si>
    <t>Ishani.Mishra@cognizant.com</t>
  </si>
  <si>
    <t>Ishani.Mishra@freseniusmedicalcare.com</t>
  </si>
  <si>
    <t>Ragupathi.Shanmugam</t>
  </si>
  <si>
    <t>Ragupathi.Shanmugam@cognizant.com</t>
  </si>
  <si>
    <t>Ragupathi.Shanmugam@freseniusmedicalcare.com</t>
  </si>
  <si>
    <t>+91-8825641617</t>
  </si>
  <si>
    <t>| 11:00 AM – 8:00 PM (EST) | 08:00 AM – 5:00 PM (PST) |</t>
  </si>
  <si>
    <t>Venkata subrahmanyam Kotra</t>
  </si>
  <si>
    <t>venkatasubrahmanyam.kotra@freseniusmedicalcare.com</t>
  </si>
  <si>
    <t>+1 4087717739</t>
  </si>
  <si>
    <t xml:space="preserve"> Ravi/ Ragu/ Ritesh</t>
  </si>
  <si>
    <t>shahabaz.patel@freseniusmedicalcare.com</t>
  </si>
  <si>
    <t>harsh.verma@freseniusmedicalcare.com</t>
  </si>
  <si>
    <t xml:space="preserve">+91 8208830014
</t>
  </si>
  <si>
    <t>)</t>
  </si>
  <si>
    <t>AWS Infra</t>
  </si>
  <si>
    <t>PLT infrastructure operations</t>
  </si>
  <si>
    <t>16*5</t>
  </si>
  <si>
    <t>Arun Vellaichamy</t>
  </si>
  <si>
    <t>Catia Magic</t>
  </si>
  <si>
    <t>8*5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</si>
</sst>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u/>
      <sz val="10"/>
      <color theme="10"/>
      <name val="Calibri"/>
      <family val="2"/>
    </font>
    <font>
      <u/>
      <sz val="11"/>
      <color rgb="FF467886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Calibri"/>
    </font>
    <font>
      <sz val="10"/>
      <color rgb="FF000000"/>
      <name val="Calibri"/>
    </font>
    <font>
      <b/>
      <sz val="11"/>
      <color rgb="FF000000"/>
      <name val="Aptos"/>
    </font>
    <font>
      <sz val="11"/>
      <color rgb="FF000000"/>
      <name val="Aptos"/>
    </font>
    <font>
      <sz val="11"/>
      <color rgb="FF000000"/>
      <name val="Aptos Narrow"/>
    </font>
    <font>
      <b/>
      <sz val="11"/>
      <color rgb="FF000000"/>
      <name val="Aptos Narrow"/>
    </font>
    <font>
      <b/>
      <sz val="10"/>
      <color rgb="FF000000"/>
      <name val="Calibri"/>
    </font>
    <font>
      <b/>
      <sz val="10"/>
      <color theme="0"/>
      <name val="Calibri"/>
    </font>
    <font>
      <sz val="10"/>
      <color theme="0"/>
      <name val="Calibri"/>
    </font>
    <font>
      <b/>
      <sz val="10"/>
      <name val="Calibri"/>
    </font>
    <font>
      <u/>
      <sz val="11"/>
      <color theme="10"/>
      <name val="Calibri"/>
      <family val="2"/>
    </font>
    <font>
      <b/>
      <sz val="8"/>
      <color rgb="FFFFFFFF"/>
      <name val="Calibri"/>
      <charset val="1"/>
    </font>
    <font>
      <b/>
      <sz val="8"/>
      <color rgb="FF555555"/>
      <name val="Calibri"/>
      <charset val="1"/>
    </font>
    <font>
      <sz val="24"/>
      <color rgb="FFFFFFFF"/>
      <name val="Calibri"/>
      <family val="2"/>
    </font>
    <font>
      <sz val="11"/>
      <color rgb="FF0061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6100"/>
      <name val="Calibri"/>
    </font>
    <font>
      <b/>
      <sz val="8"/>
      <color rgb="FF4A235A"/>
      <name val="Calibri"/>
      <charset val="1"/>
    </font>
    <font>
      <b/>
      <sz val="8"/>
      <color rgb="FF99A3A4"/>
      <name val="Calibri"/>
      <charset val="1"/>
    </font>
    <font>
      <b/>
      <sz val="8"/>
      <color rgb="FF717D7E"/>
      <name val="Calibri"/>
      <charset val="1"/>
    </font>
    <font>
      <b/>
      <sz val="8"/>
      <color rgb="FF085041"/>
      <name val="Calibri"/>
      <charset val="1"/>
    </font>
    <font>
      <b/>
      <sz val="8"/>
      <color rgb="FF78281F"/>
      <name val="Calibri"/>
      <charset val="1"/>
    </font>
    <font>
      <b/>
      <sz val="9"/>
      <color rgb="FF0D2137"/>
      <name val="Calibri"/>
      <charset val="1"/>
    </font>
    <font>
      <b/>
      <sz val="8"/>
      <color rgb="FF784212"/>
      <name val="Calibri"/>
      <charset val="1"/>
    </font>
  </fonts>
  <fills count="6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C0E6F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74F69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0D2137"/>
        <bgColor rgb="FF000000"/>
      </patternFill>
    </fill>
    <fill>
      <patternFill patternType="solid">
        <fgColor rgb="FFA0AAB4"/>
        <bgColor rgb="FF99A3A4"/>
      </patternFill>
    </fill>
    <fill>
      <patternFill patternType="solid">
        <fgColor rgb="FFDFFBEA"/>
        <bgColor rgb="FFE1F5EE"/>
      </patternFill>
    </fill>
    <fill>
      <patternFill patternType="solid">
        <fgColor rgb="FFEAECEE"/>
        <bgColor rgb="FFE8EDF2"/>
      </patternFill>
    </fill>
    <fill>
      <patternFill patternType="solid">
        <fgColor rgb="FFFADBD8"/>
        <bgColor rgb="FFE8DAEF"/>
      </patternFill>
    </fill>
    <fill>
      <patternFill patternType="solid">
        <fgColor rgb="FFEDE7F6"/>
        <bgColor rgb="FFEAECEE"/>
      </patternFill>
    </fill>
    <fill>
      <patternFill patternType="solid">
        <fgColor rgb="FFF2F3F4"/>
        <bgColor rgb="FFF4F6F8"/>
      </patternFill>
    </fill>
    <fill>
      <patternFill patternType="solid">
        <fgColor rgb="FF44546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DEBD0"/>
        <bgColor rgb="FFFEF3CD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D1D8E0"/>
      </left>
      <right style="thin">
        <color rgb="FFD1D8E0"/>
      </right>
      <top style="thin">
        <color rgb="FFD1D8E0"/>
      </top>
      <bottom style="thin">
        <color rgb="FFD1D8E0"/>
      </bottom>
      <diagonal/>
    </border>
    <border>
      <left/>
      <right style="thin">
        <color rgb="FFD1D8E0"/>
      </right>
      <top style="thin">
        <color rgb="FFD1D8E0"/>
      </top>
      <bottom style="thin">
        <color rgb="FFD1D8E0"/>
      </bottom>
      <diagonal/>
    </border>
    <border>
      <left style="thin">
        <color rgb="FFD1D8E0"/>
      </left>
      <right style="thin">
        <color rgb="FFD1D8E0"/>
      </right>
      <top/>
      <bottom style="thin">
        <color rgb="FFD1D8E0"/>
      </bottom>
      <diagonal/>
    </border>
    <border>
      <left/>
      <right style="thin">
        <color rgb="FFD1D8E0"/>
      </right>
      <top/>
      <bottom style="thin">
        <color rgb="FFD1D8E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2" xfId="0" applyFont="1" applyFill="1" applyBorder="1"/>
    <xf numFmtId="0" fontId="4" fillId="3" borderId="0" xfId="0" applyFont="1" applyFill="1"/>
    <xf numFmtId="0" fontId="4" fillId="3" borderId="7" xfId="0" applyFont="1" applyFill="1" applyBorder="1"/>
    <xf numFmtId="0" fontId="4" fillId="3" borderId="5" xfId="0" applyFont="1" applyFill="1" applyBorder="1"/>
    <xf numFmtId="0" fontId="5" fillId="5" borderId="12" xfId="0" applyFont="1" applyFill="1" applyBorder="1" applyAlignment="1">
      <alignment vertical="top"/>
    </xf>
    <xf numFmtId="0" fontId="5" fillId="5" borderId="6" xfId="0" applyFont="1" applyFill="1" applyBorder="1" applyAlignment="1">
      <alignment vertical="top"/>
    </xf>
    <xf numFmtId="0" fontId="5" fillId="5" borderId="13" xfId="0" applyFont="1" applyFill="1" applyBorder="1" applyAlignment="1">
      <alignment vertical="top"/>
    </xf>
    <xf numFmtId="0" fontId="4" fillId="7" borderId="3" xfId="0" applyFont="1" applyFill="1" applyBorder="1"/>
    <xf numFmtId="0" fontId="4" fillId="7" borderId="8" xfId="0" applyFont="1" applyFill="1" applyBorder="1"/>
    <xf numFmtId="0" fontId="4" fillId="7" borderId="14" xfId="0" applyFont="1" applyFill="1" applyBorder="1"/>
    <xf numFmtId="0" fontId="4" fillId="7" borderId="15" xfId="0" applyFont="1" applyFill="1" applyBorder="1"/>
    <xf numFmtId="0" fontId="4" fillId="7" borderId="8" xfId="0" applyFont="1" applyFill="1" applyBorder="1" applyAlignment="1">
      <alignment horizontal="left" vertical="center"/>
    </xf>
    <xf numFmtId="0" fontId="4" fillId="7" borderId="16" xfId="0" applyFont="1" applyFill="1" applyBorder="1"/>
    <xf numFmtId="0" fontId="4" fillId="7" borderId="17" xfId="0" applyFont="1" applyFill="1" applyBorder="1"/>
    <xf numFmtId="0" fontId="4" fillId="7" borderId="18" xfId="0" applyFont="1" applyFill="1" applyBorder="1"/>
    <xf numFmtId="0" fontId="4" fillId="7" borderId="19" xfId="0" applyFont="1" applyFill="1" applyBorder="1"/>
    <xf numFmtId="0" fontId="4" fillId="7" borderId="17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8" borderId="8" xfId="0" applyFont="1" applyFill="1" applyBorder="1" applyAlignment="1">
      <alignment horizontal="left" vertical="center"/>
    </xf>
    <xf numFmtId="0" fontId="4" fillId="8" borderId="14" xfId="0" applyFont="1" applyFill="1" applyBorder="1"/>
    <xf numFmtId="0" fontId="4" fillId="8" borderId="15" xfId="0" applyFont="1" applyFill="1" applyBorder="1"/>
    <xf numFmtId="0" fontId="4" fillId="8" borderId="20" xfId="0" applyFont="1" applyFill="1" applyBorder="1"/>
    <xf numFmtId="0" fontId="4" fillId="8" borderId="21" xfId="0" applyFont="1" applyFill="1" applyBorder="1" applyAlignment="1">
      <alignment horizontal="left" vertical="center"/>
    </xf>
    <xf numFmtId="0" fontId="4" fillId="8" borderId="1" xfId="0" applyFont="1" applyFill="1" applyBorder="1"/>
    <xf numFmtId="0" fontId="4" fillId="8" borderId="22" xfId="0" applyFont="1" applyFill="1" applyBorder="1"/>
    <xf numFmtId="0" fontId="4" fillId="8" borderId="21" xfId="0" applyFont="1" applyFill="1" applyBorder="1"/>
    <xf numFmtId="0" fontId="4" fillId="8" borderId="16" xfId="0" applyFont="1" applyFill="1" applyBorder="1"/>
    <xf numFmtId="0" fontId="4" fillId="8" borderId="17" xfId="0" applyFont="1" applyFill="1" applyBorder="1"/>
    <xf numFmtId="0" fontId="4" fillId="8" borderId="18" xfId="0" applyFont="1" applyFill="1" applyBorder="1"/>
    <xf numFmtId="0" fontId="4" fillId="8" borderId="19" xfId="0" applyFont="1" applyFill="1" applyBorder="1"/>
    <xf numFmtId="0" fontId="4" fillId="9" borderId="20" xfId="0" applyFont="1" applyFill="1" applyBorder="1"/>
    <xf numFmtId="0" fontId="4" fillId="9" borderId="23" xfId="0" applyFont="1" applyFill="1" applyBorder="1" applyAlignment="1">
      <alignment horizontal="left" vertical="center"/>
    </xf>
    <xf numFmtId="0" fontId="4" fillId="9" borderId="24" xfId="0" applyFont="1" applyFill="1" applyBorder="1"/>
    <xf numFmtId="0" fontId="4" fillId="9" borderId="25" xfId="0" applyFont="1" applyFill="1" applyBorder="1"/>
    <xf numFmtId="0" fontId="4" fillId="9" borderId="21" xfId="0" applyFont="1" applyFill="1" applyBorder="1" applyAlignment="1">
      <alignment horizontal="left" vertical="center"/>
    </xf>
    <xf numFmtId="0" fontId="4" fillId="9" borderId="1" xfId="0" applyFont="1" applyFill="1" applyBorder="1"/>
    <xf numFmtId="0" fontId="4" fillId="9" borderId="22" xfId="0" applyFont="1" applyFill="1" applyBorder="1"/>
    <xf numFmtId="0" fontId="4" fillId="9" borderId="21" xfId="0" applyFont="1" applyFill="1" applyBorder="1"/>
    <xf numFmtId="0" fontId="4" fillId="9" borderId="16" xfId="0" applyFont="1" applyFill="1" applyBorder="1"/>
    <xf numFmtId="0" fontId="4" fillId="9" borderId="17" xfId="0" applyFont="1" applyFill="1" applyBorder="1"/>
    <xf numFmtId="0" fontId="4" fillId="9" borderId="18" xfId="0" applyFont="1" applyFill="1" applyBorder="1"/>
    <xf numFmtId="0" fontId="4" fillId="9" borderId="19" xfId="0" applyFont="1" applyFill="1" applyBorder="1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5" borderId="34" xfId="0" applyFont="1" applyFill="1" applyBorder="1" applyAlignment="1">
      <alignment vertical="top"/>
    </xf>
    <xf numFmtId="0" fontId="5" fillId="5" borderId="35" xfId="0" applyFont="1" applyFill="1" applyBorder="1" applyAlignment="1">
      <alignment vertical="top"/>
    </xf>
    <xf numFmtId="0" fontId="5" fillId="5" borderId="36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center" wrapText="1"/>
    </xf>
    <xf numFmtId="0" fontId="6" fillId="0" borderId="2" xfId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6" fillId="6" borderId="14" xfId="1" applyFill="1" applyBorder="1"/>
    <xf numFmtId="0" fontId="6" fillId="8" borderId="14" xfId="1" applyFill="1" applyBorder="1"/>
    <xf numFmtId="0" fontId="6" fillId="8" borderId="1" xfId="1" applyFill="1" applyBorder="1"/>
    <xf numFmtId="0" fontId="6" fillId="9" borderId="24" xfId="1" applyFill="1" applyBorder="1" applyAlignment="1">
      <alignment horizontal="left" vertical="center"/>
    </xf>
    <xf numFmtId="0" fontId="4" fillId="9" borderId="24" xfId="0" applyFont="1" applyFill="1" applyBorder="1" applyAlignment="1">
      <alignment horizontal="left" vertical="center"/>
    </xf>
    <xf numFmtId="0" fontId="4" fillId="9" borderId="25" xfId="0" applyFont="1" applyFill="1" applyBorder="1" applyAlignment="1">
      <alignment horizontal="left" vertical="center"/>
    </xf>
    <xf numFmtId="0" fontId="4" fillId="9" borderId="24" xfId="0" applyFont="1" applyFill="1" applyBorder="1" applyAlignment="1">
      <alignment horizontal="left" vertical="center" wrapText="1"/>
    </xf>
    <xf numFmtId="0" fontId="6" fillId="9" borderId="1" xfId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22" xfId="0" applyFont="1" applyFill="1" applyBorder="1" applyAlignment="1">
      <alignment horizontal="left" vertical="center"/>
    </xf>
    <xf numFmtId="0" fontId="4" fillId="9" borderId="17" xfId="0" applyFont="1" applyFill="1" applyBorder="1" applyAlignment="1">
      <alignment horizontal="left" vertical="center"/>
    </xf>
    <xf numFmtId="0" fontId="4" fillId="9" borderId="18" xfId="0" applyFont="1" applyFill="1" applyBorder="1" applyAlignment="1">
      <alignment horizontal="left" vertical="center"/>
    </xf>
    <xf numFmtId="0" fontId="4" fillId="9" borderId="19" xfId="0" applyFont="1" applyFill="1" applyBorder="1" applyAlignment="1">
      <alignment horizontal="left" vertical="center"/>
    </xf>
    <xf numFmtId="0" fontId="4" fillId="7" borderId="14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left" vertical="center"/>
    </xf>
    <xf numFmtId="0" fontId="4" fillId="8" borderId="14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8" xfId="0" applyFont="1" applyFill="1" applyBorder="1" applyAlignment="1">
      <alignment horizontal="left" vertical="center"/>
    </xf>
    <xf numFmtId="0" fontId="6" fillId="0" borderId="38" xfId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7" fillId="12" borderId="7" xfId="0" applyFont="1" applyFill="1" applyBorder="1"/>
    <xf numFmtId="0" fontId="8" fillId="12" borderId="5" xfId="0" applyFont="1" applyFill="1" applyBorder="1"/>
    <xf numFmtId="0" fontId="7" fillId="12" borderId="12" xfId="0" applyFont="1" applyFill="1" applyBorder="1" applyAlignment="1">
      <alignment vertical="top"/>
    </xf>
    <xf numFmtId="0" fontId="7" fillId="12" borderId="6" xfId="0" applyFont="1" applyFill="1" applyBorder="1" applyAlignment="1">
      <alignment vertical="top"/>
    </xf>
    <xf numFmtId="0" fontId="7" fillId="12" borderId="13" xfId="0" applyFont="1" applyFill="1" applyBorder="1" applyAlignment="1">
      <alignment vertical="top"/>
    </xf>
    <xf numFmtId="0" fontId="7" fillId="12" borderId="35" xfId="0" applyFont="1" applyFill="1" applyBorder="1" applyAlignment="1">
      <alignment vertical="top"/>
    </xf>
    <xf numFmtId="0" fontId="7" fillId="12" borderId="34" xfId="0" applyFont="1" applyFill="1" applyBorder="1" applyAlignment="1">
      <alignment vertical="top"/>
    </xf>
    <xf numFmtId="0" fontId="7" fillId="12" borderId="36" xfId="0" applyFont="1" applyFill="1" applyBorder="1" applyAlignment="1">
      <alignment vertical="top"/>
    </xf>
    <xf numFmtId="0" fontId="7" fillId="13" borderId="2" xfId="0" applyFont="1" applyFill="1" applyBorder="1"/>
    <xf numFmtId="0" fontId="5" fillId="14" borderId="2" xfId="0" applyFont="1" applyFill="1" applyBorder="1"/>
    <xf numFmtId="0" fontId="9" fillId="6" borderId="16" xfId="0" applyFont="1" applyFill="1" applyBorder="1" applyAlignment="1">
      <alignment horizontal="left" vertical="center" wrapText="1"/>
    </xf>
    <xf numFmtId="0" fontId="5" fillId="7" borderId="3" xfId="0" applyFont="1" applyFill="1" applyBorder="1"/>
    <xf numFmtId="0" fontId="5" fillId="7" borderId="16" xfId="0" applyFont="1" applyFill="1" applyBorder="1"/>
    <xf numFmtId="0" fontId="5" fillId="8" borderId="3" xfId="0" applyFont="1" applyFill="1" applyBorder="1"/>
    <xf numFmtId="0" fontId="5" fillId="8" borderId="20" xfId="0" applyFont="1" applyFill="1" applyBorder="1"/>
    <xf numFmtId="0" fontId="5" fillId="8" borderId="16" xfId="0" applyFont="1" applyFill="1" applyBorder="1"/>
    <xf numFmtId="0" fontId="5" fillId="9" borderId="20" xfId="0" applyFont="1" applyFill="1" applyBorder="1"/>
    <xf numFmtId="0" fontId="5" fillId="9" borderId="16" xfId="0" applyFont="1" applyFill="1" applyBorder="1"/>
    <xf numFmtId="0" fontId="6" fillId="0" borderId="38" xfId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2" xfId="1" applyBorder="1" applyAlignment="1">
      <alignment horizontal="left" vertical="top"/>
    </xf>
    <xf numFmtId="0" fontId="10" fillId="0" borderId="38" xfId="1" applyFont="1" applyBorder="1" applyAlignment="1">
      <alignment horizontal="left" vertical="center"/>
    </xf>
    <xf numFmtId="0" fontId="10" fillId="0" borderId="40" xfId="1" applyFont="1" applyBorder="1" applyAlignment="1">
      <alignment horizontal="left" vertical="top" wrapText="1"/>
    </xf>
    <xf numFmtId="0" fontId="5" fillId="9" borderId="20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7" fillId="12" borderId="5" xfId="0" applyFont="1" applyFill="1" applyBorder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38" xfId="1" applyFont="1" applyFill="1" applyBorder="1" applyAlignment="1">
      <alignment horizontal="left" vertical="center"/>
    </xf>
    <xf numFmtId="0" fontId="6" fillId="0" borderId="2" xfId="1" applyFill="1" applyBorder="1" applyAlignment="1">
      <alignment horizontal="left" vertical="center"/>
    </xf>
    <xf numFmtId="0" fontId="2" fillId="0" borderId="37" xfId="0" applyFont="1" applyBorder="1" applyAlignment="1">
      <alignment horizontal="left" vertical="center" wrapText="1"/>
    </xf>
    <xf numFmtId="0" fontId="6" fillId="0" borderId="38" xfId="1" applyFill="1" applyBorder="1" applyAlignment="1">
      <alignment horizontal="left" vertical="center" wrapText="1"/>
    </xf>
    <xf numFmtId="0" fontId="6" fillId="7" borderId="14" xfId="1" applyFill="1" applyBorder="1"/>
    <xf numFmtId="16" fontId="1" fillId="15" borderId="38" xfId="0" applyNumberFormat="1" applyFont="1" applyFill="1" applyBorder="1" applyAlignment="1">
      <alignment horizontal="center" vertical="center"/>
    </xf>
    <xf numFmtId="16" fontId="1" fillId="11" borderId="38" xfId="0" applyNumberFormat="1" applyFont="1" applyFill="1" applyBorder="1" applyAlignment="1">
      <alignment horizontal="center" vertical="center"/>
    </xf>
    <xf numFmtId="0" fontId="6" fillId="0" borderId="41" xfId="1" applyBorder="1" applyAlignment="1">
      <alignment horizontal="left" vertical="center"/>
    </xf>
    <xf numFmtId="0" fontId="6" fillId="0" borderId="40" xfId="1" applyBorder="1" applyAlignment="1">
      <alignment horizontal="left" vertical="center"/>
    </xf>
    <xf numFmtId="0" fontId="0" fillId="0" borderId="0" xfId="0" applyAlignment="1">
      <alignment wrapText="1"/>
    </xf>
    <xf numFmtId="0" fontId="2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7" xfId="0" applyBorder="1" applyAlignment="1">
      <alignment wrapText="1"/>
    </xf>
    <xf numFmtId="0" fontId="0" fillId="0" borderId="37" xfId="0" applyBorder="1" applyAlignment="1">
      <alignment horizontal="left" vertical="top" wrapText="1"/>
    </xf>
    <xf numFmtId="0" fontId="5" fillId="3" borderId="42" xfId="0" applyFont="1" applyFill="1" applyBorder="1" applyAlignment="1">
      <alignment horizontal="center" vertical="center"/>
    </xf>
    <xf numFmtId="0" fontId="7" fillId="12" borderId="43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/>
    </xf>
    <xf numFmtId="0" fontId="4" fillId="10" borderId="24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6" fillId="0" borderId="38" xfId="1" applyBorder="1" applyAlignment="1">
      <alignment vertical="center"/>
    </xf>
    <xf numFmtId="0" fontId="0" fillId="0" borderId="38" xfId="0" applyBorder="1" applyAlignment="1">
      <alignment vertical="center"/>
    </xf>
    <xf numFmtId="0" fontId="14" fillId="0" borderId="1" xfId="1" applyFont="1" applyBorder="1" applyAlignment="1">
      <alignment horizontal="left" vertical="center"/>
    </xf>
    <xf numFmtId="0" fontId="6" fillId="0" borderId="1" xfId="1" applyBorder="1" applyAlignment="1">
      <alignment horizontal="left" vertical="center"/>
    </xf>
    <xf numFmtId="0" fontId="4" fillId="11" borderId="6" xfId="0" applyFont="1" applyFill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14" fillId="0" borderId="38" xfId="1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4" fillId="10" borderId="38" xfId="0" applyFont="1" applyFill="1" applyBorder="1" applyAlignment="1">
      <alignment horizontal="left" vertical="center"/>
    </xf>
    <xf numFmtId="0" fontId="11" fillId="0" borderId="38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4" fillId="0" borderId="38" xfId="0" applyFont="1" applyBorder="1" applyAlignment="1">
      <alignment vertical="center" wrapText="1"/>
    </xf>
    <xf numFmtId="0" fontId="4" fillId="10" borderId="38" xfId="0" applyFont="1" applyFill="1" applyBorder="1" applyAlignment="1">
      <alignment vertical="center"/>
    </xf>
    <xf numFmtId="0" fontId="6" fillId="0" borderId="38" xfId="1" applyBorder="1" applyAlignment="1">
      <alignment vertical="center" wrapText="1"/>
    </xf>
    <xf numFmtId="0" fontId="0" fillId="11" borderId="38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38" xfId="0" quotePrefix="1" applyFont="1" applyBorder="1" applyAlignment="1">
      <alignment vertical="center"/>
    </xf>
    <xf numFmtId="0" fontId="2" fillId="0" borderId="38" xfId="0" applyFont="1" applyBorder="1" applyAlignment="1">
      <alignment horizontal="left" vertical="center" wrapText="1"/>
    </xf>
    <xf numFmtId="0" fontId="5" fillId="3" borderId="38" xfId="0" applyFont="1" applyFill="1" applyBorder="1"/>
    <xf numFmtId="0" fontId="7" fillId="13" borderId="38" xfId="0" applyFont="1" applyFill="1" applyBorder="1"/>
    <xf numFmtId="0" fontId="5" fillId="14" borderId="38" xfId="0" applyFont="1" applyFill="1" applyBorder="1"/>
    <xf numFmtId="0" fontId="5" fillId="8" borderId="38" xfId="0" applyFont="1" applyFill="1" applyBorder="1"/>
    <xf numFmtId="0" fontId="4" fillId="8" borderId="38" xfId="0" applyFont="1" applyFill="1" applyBorder="1"/>
    <xf numFmtId="0" fontId="4" fillId="8" borderId="38" xfId="0" applyFont="1" applyFill="1" applyBorder="1" applyAlignment="1">
      <alignment horizontal="left" vertical="center"/>
    </xf>
    <xf numFmtId="0" fontId="6" fillId="8" borderId="38" xfId="1" applyFill="1" applyBorder="1"/>
    <xf numFmtId="0" fontId="5" fillId="3" borderId="50" xfId="0" applyFont="1" applyFill="1" applyBorder="1"/>
    <xf numFmtId="0" fontId="7" fillId="13" borderId="53" xfId="0" applyFont="1" applyFill="1" applyBorder="1"/>
    <xf numFmtId="0" fontId="5" fillId="14" borderId="53" xfId="0" applyFont="1" applyFill="1" applyBorder="1"/>
    <xf numFmtId="0" fontId="5" fillId="3" borderId="53" xfId="0" applyFont="1" applyFill="1" applyBorder="1"/>
    <xf numFmtId="0" fontId="5" fillId="8" borderId="53" xfId="0" applyFont="1" applyFill="1" applyBorder="1"/>
    <xf numFmtId="0" fontId="4" fillId="8" borderId="54" xfId="0" applyFont="1" applyFill="1" applyBorder="1"/>
    <xf numFmtId="0" fontId="5" fillId="9" borderId="55" xfId="0" applyFont="1" applyFill="1" applyBorder="1"/>
    <xf numFmtId="0" fontId="5" fillId="9" borderId="56" xfId="0" applyFont="1" applyFill="1" applyBorder="1"/>
    <xf numFmtId="0" fontId="4" fillId="9" borderId="56" xfId="0" applyFont="1" applyFill="1" applyBorder="1" applyAlignment="1">
      <alignment horizontal="left" vertical="center"/>
    </xf>
    <xf numFmtId="0" fontId="4" fillId="9" borderId="57" xfId="0" applyFont="1" applyFill="1" applyBorder="1" applyAlignment="1">
      <alignment horizontal="left" vertical="center"/>
    </xf>
    <xf numFmtId="0" fontId="4" fillId="8" borderId="53" xfId="0" applyFont="1" applyFill="1" applyBorder="1" applyAlignment="1">
      <alignment horizontal="left" vertical="center"/>
    </xf>
    <xf numFmtId="0" fontId="4" fillId="8" borderId="53" xfId="0" applyFont="1" applyFill="1" applyBorder="1"/>
    <xf numFmtId="0" fontId="4" fillId="9" borderId="55" xfId="0" applyFont="1" applyFill="1" applyBorder="1" applyAlignment="1">
      <alignment horizontal="left" vertical="center"/>
    </xf>
    <xf numFmtId="0" fontId="4" fillId="8" borderId="42" xfId="0" applyFont="1" applyFill="1" applyBorder="1"/>
    <xf numFmtId="0" fontId="4" fillId="9" borderId="59" xfId="0" applyFont="1" applyFill="1" applyBorder="1" applyAlignment="1">
      <alignment horizontal="left" vertical="center"/>
    </xf>
    <xf numFmtId="0" fontId="9" fillId="6" borderId="58" xfId="0" applyFont="1" applyFill="1" applyBorder="1" applyAlignment="1">
      <alignment horizontal="left" vertical="center" wrapText="1"/>
    </xf>
    <xf numFmtId="0" fontId="7" fillId="12" borderId="60" xfId="0" applyFont="1" applyFill="1" applyBorder="1"/>
    <xf numFmtId="0" fontId="7" fillId="12" borderId="40" xfId="0" applyFont="1" applyFill="1" applyBorder="1"/>
    <xf numFmtId="0" fontId="7" fillId="12" borderId="60" xfId="0" applyFont="1" applyFill="1" applyBorder="1" applyAlignment="1">
      <alignment vertical="top"/>
    </xf>
    <xf numFmtId="0" fontId="7" fillId="12" borderId="40" xfId="0" applyFont="1" applyFill="1" applyBorder="1" applyAlignment="1">
      <alignment vertical="top"/>
    </xf>
    <xf numFmtId="0" fontId="7" fillId="12" borderId="61" xfId="0" applyFont="1" applyFill="1" applyBorder="1" applyAlignment="1">
      <alignment vertical="top"/>
    </xf>
    <xf numFmtId="0" fontId="7" fillId="12" borderId="62" xfId="0" applyFont="1" applyFill="1" applyBorder="1" applyAlignment="1">
      <alignment vertical="top"/>
    </xf>
    <xf numFmtId="0" fontId="5" fillId="7" borderId="50" xfId="0" applyFont="1" applyFill="1" applyBorder="1"/>
    <xf numFmtId="0" fontId="4" fillId="7" borderId="51" xfId="0" applyFont="1" applyFill="1" applyBorder="1"/>
    <xf numFmtId="0" fontId="4" fillId="7" borderId="50" xfId="0" applyFont="1" applyFill="1" applyBorder="1"/>
    <xf numFmtId="0" fontId="4" fillId="7" borderId="58" xfId="0" applyFont="1" applyFill="1" applyBorder="1"/>
    <xf numFmtId="0" fontId="4" fillId="7" borderId="50" xfId="0" applyFont="1" applyFill="1" applyBorder="1" applyAlignment="1">
      <alignment horizontal="left" vertical="center"/>
    </xf>
    <xf numFmtId="0" fontId="4" fillId="7" borderId="51" xfId="0" applyFont="1" applyFill="1" applyBorder="1" applyAlignment="1">
      <alignment horizontal="left" vertical="center"/>
    </xf>
    <xf numFmtId="0" fontId="4" fillId="7" borderId="52" xfId="0" applyFont="1" applyFill="1" applyBorder="1"/>
    <xf numFmtId="0" fontId="9" fillId="6" borderId="60" xfId="0" applyFont="1" applyFill="1" applyBorder="1" applyAlignment="1">
      <alignment horizontal="left" vertical="center" wrapText="1"/>
    </xf>
    <xf numFmtId="0" fontId="9" fillId="6" borderId="40" xfId="0" applyFont="1" applyFill="1" applyBorder="1" applyAlignment="1">
      <alignment horizontal="left" vertical="center" wrapText="1"/>
    </xf>
    <xf numFmtId="0" fontId="9" fillId="6" borderId="61" xfId="0" applyFont="1" applyFill="1" applyBorder="1" applyAlignment="1">
      <alignment horizontal="left" vertical="center" wrapText="1"/>
    </xf>
    <xf numFmtId="0" fontId="5" fillId="8" borderId="50" xfId="0" applyFont="1" applyFill="1" applyBorder="1"/>
    <xf numFmtId="0" fontId="4" fillId="8" borderId="51" xfId="0" applyFont="1" applyFill="1" applyBorder="1"/>
    <xf numFmtId="0" fontId="4" fillId="8" borderId="50" xfId="0" applyFont="1" applyFill="1" applyBorder="1" applyAlignment="1">
      <alignment horizontal="left" vertical="center"/>
    </xf>
    <xf numFmtId="0" fontId="4" fillId="8" borderId="51" xfId="0" applyFont="1" applyFill="1" applyBorder="1" applyAlignment="1">
      <alignment horizontal="left" vertical="center"/>
    </xf>
    <xf numFmtId="0" fontId="4" fillId="8" borderId="58" xfId="0" applyFont="1" applyFill="1" applyBorder="1"/>
    <xf numFmtId="0" fontId="4" fillId="8" borderId="52" xfId="0" applyFont="1" applyFill="1" applyBorder="1"/>
    <xf numFmtId="0" fontId="5" fillId="7" borderId="60" xfId="0" applyFont="1" applyFill="1" applyBorder="1"/>
    <xf numFmtId="0" fontId="5" fillId="7" borderId="40" xfId="0" applyFont="1" applyFill="1" applyBorder="1"/>
    <xf numFmtId="0" fontId="4" fillId="7" borderId="60" xfId="0" applyFont="1" applyFill="1" applyBorder="1"/>
    <xf numFmtId="0" fontId="4" fillId="7" borderId="40" xfId="0" applyFont="1" applyFill="1" applyBorder="1"/>
    <xf numFmtId="0" fontId="4" fillId="7" borderId="40" xfId="0" applyFont="1" applyFill="1" applyBorder="1" applyAlignment="1">
      <alignment horizontal="left" vertical="center"/>
    </xf>
    <xf numFmtId="0" fontId="4" fillId="7" borderId="61" xfId="0" applyFont="1" applyFill="1" applyBorder="1"/>
    <xf numFmtId="0" fontId="4" fillId="7" borderId="62" xfId="0" applyFont="1" applyFill="1" applyBorder="1"/>
    <xf numFmtId="0" fontId="5" fillId="9" borderId="50" xfId="0" applyFont="1" applyFill="1" applyBorder="1"/>
    <xf numFmtId="0" fontId="4" fillId="9" borderId="51" xfId="0" applyFont="1" applyFill="1" applyBorder="1"/>
    <xf numFmtId="0" fontId="4" fillId="9" borderId="50" xfId="0" applyFont="1" applyFill="1" applyBorder="1" applyAlignment="1">
      <alignment horizontal="left" vertical="center"/>
    </xf>
    <xf numFmtId="0" fontId="4" fillId="9" borderId="51" xfId="0" applyFont="1" applyFill="1" applyBorder="1" applyAlignment="1">
      <alignment horizontal="left" vertical="center"/>
    </xf>
    <xf numFmtId="0" fontId="4" fillId="9" borderId="58" xfId="0" applyFont="1" applyFill="1" applyBorder="1" applyAlignment="1">
      <alignment horizontal="left" vertical="center"/>
    </xf>
    <xf numFmtId="0" fontId="6" fillId="9" borderId="56" xfId="1" applyFill="1" applyBorder="1" applyAlignment="1">
      <alignment horizontal="left" vertical="center"/>
    </xf>
    <xf numFmtId="0" fontId="4" fillId="9" borderId="56" xfId="0" applyFont="1" applyFill="1" applyBorder="1" applyAlignment="1">
      <alignment horizontal="left" vertical="center" wrapText="1"/>
    </xf>
    <xf numFmtId="0" fontId="5" fillId="8" borderId="60" xfId="0" applyFont="1" applyFill="1" applyBorder="1"/>
    <xf numFmtId="0" fontId="5" fillId="8" borderId="40" xfId="0" applyFont="1" applyFill="1" applyBorder="1"/>
    <xf numFmtId="0" fontId="4" fillId="8" borderId="60" xfId="0" applyFont="1" applyFill="1" applyBorder="1"/>
    <xf numFmtId="0" fontId="4" fillId="8" borderId="40" xfId="0" applyFont="1" applyFill="1" applyBorder="1"/>
    <xf numFmtId="0" fontId="4" fillId="8" borderId="40" xfId="0" applyFont="1" applyFill="1" applyBorder="1" applyAlignment="1">
      <alignment horizontal="left" vertical="center"/>
    </xf>
    <xf numFmtId="0" fontId="4" fillId="8" borderId="61" xfId="0" applyFont="1" applyFill="1" applyBorder="1"/>
    <xf numFmtId="0" fontId="4" fillId="8" borderId="62" xfId="0" applyFont="1" applyFill="1" applyBorder="1"/>
    <xf numFmtId="0" fontId="4" fillId="3" borderId="58" xfId="0" applyFont="1" applyFill="1" applyBorder="1" applyAlignment="1">
      <alignment horizontal="left"/>
    </xf>
    <xf numFmtId="0" fontId="8" fillId="12" borderId="61" xfId="0" applyFont="1" applyFill="1" applyBorder="1" applyAlignment="1">
      <alignment horizontal="left"/>
    </xf>
    <xf numFmtId="0" fontId="5" fillId="7" borderId="58" xfId="0" applyFont="1" applyFill="1" applyBorder="1" applyAlignment="1">
      <alignment horizontal="left"/>
    </xf>
    <xf numFmtId="0" fontId="5" fillId="7" borderId="61" xfId="0" applyFont="1" applyFill="1" applyBorder="1" applyAlignment="1">
      <alignment horizontal="left"/>
    </xf>
    <xf numFmtId="0" fontId="5" fillId="8" borderId="58" xfId="0" applyFont="1" applyFill="1" applyBorder="1" applyAlignment="1">
      <alignment horizontal="left" vertical="center"/>
    </xf>
    <xf numFmtId="0" fontId="5" fillId="8" borderId="42" xfId="0" applyFont="1" applyFill="1" applyBorder="1" applyAlignment="1">
      <alignment horizontal="left"/>
    </xf>
    <xf numFmtId="0" fontId="5" fillId="8" borderId="61" xfId="0" applyFont="1" applyFill="1" applyBorder="1" applyAlignment="1">
      <alignment horizontal="left"/>
    </xf>
    <xf numFmtId="0" fontId="5" fillId="9" borderId="58" xfId="0" applyFont="1" applyFill="1" applyBorder="1" applyAlignment="1">
      <alignment horizontal="left"/>
    </xf>
    <xf numFmtId="0" fontId="4" fillId="9" borderId="59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6" borderId="50" xfId="0" applyFont="1" applyFill="1" applyBorder="1" applyAlignment="1">
      <alignment horizontal="left" vertical="center" wrapText="1"/>
    </xf>
    <xf numFmtId="0" fontId="5" fillId="3" borderId="51" xfId="0" applyFont="1" applyFill="1" applyBorder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7" fillId="12" borderId="7" xfId="0" applyFont="1" applyFill="1" applyBorder="1" applyAlignment="1">
      <alignment horizontal="left" vertical="top"/>
    </xf>
    <xf numFmtId="0" fontId="0" fillId="0" borderId="38" xfId="0" quotePrefix="1" applyBorder="1" applyAlignment="1">
      <alignment horizontal="left" vertical="center" wrapText="1"/>
    </xf>
    <xf numFmtId="0" fontId="6" fillId="0" borderId="24" xfId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16" fontId="1" fillId="16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16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16" borderId="2" xfId="0" applyFont="1" applyFill="1" applyBorder="1" applyAlignment="1">
      <alignment horizontal="right" vertical="center"/>
    </xf>
    <xf numFmtId="16" fontId="1" fillId="16" borderId="39" xfId="0" applyNumberFormat="1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17" borderId="39" xfId="0" applyFill="1" applyBorder="1" applyAlignment="1">
      <alignment horizontal="center" vertical="center"/>
    </xf>
    <xf numFmtId="0" fontId="1" fillId="16" borderId="63" xfId="0" applyFont="1" applyFill="1" applyBorder="1" applyAlignment="1">
      <alignment horizontal="right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6" fillId="16" borderId="1" xfId="1" applyFill="1" applyBorder="1" applyAlignment="1">
      <alignment vertical="center"/>
    </xf>
    <xf numFmtId="0" fontId="1" fillId="16" borderId="6" xfId="0" applyFont="1" applyFill="1" applyBorder="1" applyAlignment="1">
      <alignment vertical="center"/>
    </xf>
    <xf numFmtId="0" fontId="6" fillId="16" borderId="6" xfId="1" applyFill="1" applyBorder="1" applyAlignment="1">
      <alignment vertical="center"/>
    </xf>
    <xf numFmtId="0" fontId="1" fillId="16" borderId="5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10" fillId="0" borderId="40" xfId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39" xfId="0" applyFont="1" applyBorder="1" applyAlignment="1">
      <alignment horizontal="left" vertical="center"/>
    </xf>
    <xf numFmtId="0" fontId="6" fillId="0" borderId="38" xfId="1" applyFill="1" applyBorder="1" applyAlignment="1">
      <alignment horizontal="left" vertical="center"/>
    </xf>
    <xf numFmtId="0" fontId="0" fillId="22" borderId="1" xfId="0" applyFill="1" applyBorder="1" applyAlignment="1">
      <alignment horizontal="center" vertical="center"/>
    </xf>
    <xf numFmtId="0" fontId="1" fillId="23" borderId="24" xfId="0" applyFont="1" applyFill="1" applyBorder="1" applyAlignment="1">
      <alignment vertical="center"/>
    </xf>
    <xf numFmtId="0" fontId="1" fillId="23" borderId="1" xfId="0" applyFont="1" applyFill="1" applyBorder="1" applyAlignment="1">
      <alignment vertical="center"/>
    </xf>
    <xf numFmtId="0" fontId="6" fillId="23" borderId="24" xfId="1" applyFill="1" applyBorder="1" applyAlignment="1">
      <alignment vertical="center"/>
    </xf>
    <xf numFmtId="0" fontId="1" fillId="23" borderId="63" xfId="0" applyFont="1" applyFill="1" applyBorder="1" applyAlignment="1">
      <alignment horizontal="right" vertical="center"/>
    </xf>
    <xf numFmtId="0" fontId="6" fillId="23" borderId="1" xfId="1" applyFill="1" applyBorder="1" applyAlignment="1">
      <alignment vertical="center"/>
    </xf>
    <xf numFmtId="0" fontId="2" fillId="0" borderId="1" xfId="0" applyFont="1" applyBorder="1" applyAlignment="1">
      <alignment horizontal="fill" vertical="top"/>
    </xf>
    <xf numFmtId="0" fontId="2" fillId="0" borderId="2" xfId="0" applyFont="1" applyBorder="1" applyAlignment="1">
      <alignment horizontal="fill" vertical="top"/>
    </xf>
    <xf numFmtId="0" fontId="3" fillId="0" borderId="1" xfId="0" applyFont="1" applyBorder="1" applyAlignment="1">
      <alignment horizontal="fill" vertical="top"/>
    </xf>
    <xf numFmtId="0" fontId="3" fillId="0" borderId="2" xfId="0" applyFont="1" applyBorder="1" applyAlignment="1">
      <alignment horizontal="fill" vertical="top"/>
    </xf>
    <xf numFmtId="0" fontId="2" fillId="0" borderId="39" xfId="0" applyFont="1" applyBorder="1" applyAlignment="1">
      <alignment horizontal="fill" vertical="top"/>
    </xf>
    <xf numFmtId="0" fontId="2" fillId="0" borderId="6" xfId="0" applyFont="1" applyBorder="1" applyAlignment="1">
      <alignment horizontal="fill" vertical="top"/>
    </xf>
    <xf numFmtId="0" fontId="3" fillId="0" borderId="63" xfId="0" applyFont="1" applyBorder="1" applyAlignment="1">
      <alignment horizontal="fill" vertical="top"/>
    </xf>
    <xf numFmtId="0" fontId="2" fillId="0" borderId="63" xfId="0" applyFont="1" applyBorder="1" applyAlignment="1">
      <alignment horizontal="fill" vertical="top"/>
    </xf>
    <xf numFmtId="0" fontId="1" fillId="16" borderId="66" xfId="0" applyFont="1" applyFill="1" applyBorder="1" applyAlignment="1">
      <alignment horizontal="right" vertical="center"/>
    </xf>
    <xf numFmtId="0" fontId="17" fillId="24" borderId="44" xfId="0" applyFont="1" applyFill="1" applyBorder="1"/>
    <xf numFmtId="0" fontId="17" fillId="0" borderId="0" xfId="0" applyFont="1"/>
    <xf numFmtId="0" fontId="17" fillId="25" borderId="44" xfId="0" applyFont="1" applyFill="1" applyBorder="1"/>
    <xf numFmtId="0" fontId="17" fillId="0" borderId="44" xfId="0" applyFont="1" applyBorder="1"/>
    <xf numFmtId="0" fontId="17" fillId="0" borderId="24" xfId="0" applyFont="1" applyBorder="1"/>
    <xf numFmtId="0" fontId="17" fillId="29" borderId="44" xfId="0" applyFont="1" applyFill="1" applyBorder="1"/>
    <xf numFmtId="0" fontId="16" fillId="26" borderId="44" xfId="0" applyFont="1" applyFill="1" applyBorder="1"/>
    <xf numFmtId="0" fontId="17" fillId="30" borderId="44" xfId="0" applyFont="1" applyFill="1" applyBorder="1"/>
    <xf numFmtId="0" fontId="17" fillId="0" borderId="34" xfId="0" applyFont="1" applyBorder="1"/>
    <xf numFmtId="0" fontId="17" fillId="31" borderId="0" xfId="0" applyFont="1" applyFill="1"/>
    <xf numFmtId="0" fontId="4" fillId="8" borderId="69" xfId="0" applyFont="1" applyFill="1" applyBorder="1"/>
    <xf numFmtId="0" fontId="4" fillId="8" borderId="67" xfId="0" applyFont="1" applyFill="1" applyBorder="1"/>
    <xf numFmtId="0" fontId="4" fillId="8" borderId="68" xfId="0" applyFont="1" applyFill="1" applyBorder="1"/>
    <xf numFmtId="0" fontId="4" fillId="9" borderId="72" xfId="0" applyFont="1" applyFill="1" applyBorder="1" applyAlignment="1">
      <alignment horizontal="left" vertical="center"/>
    </xf>
    <xf numFmtId="0" fontId="4" fillId="9" borderId="73" xfId="0" applyFont="1" applyFill="1" applyBorder="1" applyAlignment="1">
      <alignment horizontal="left" vertical="center"/>
    </xf>
    <xf numFmtId="0" fontId="4" fillId="9" borderId="74" xfId="0" applyFont="1" applyFill="1" applyBorder="1" applyAlignment="1">
      <alignment horizontal="left" vertical="center"/>
    </xf>
    <xf numFmtId="0" fontId="4" fillId="9" borderId="75" xfId="0" applyFont="1" applyFill="1" applyBorder="1" applyAlignment="1">
      <alignment horizontal="left" vertical="center"/>
    </xf>
    <xf numFmtId="0" fontId="4" fillId="9" borderId="41" xfId="0" applyFont="1" applyFill="1" applyBorder="1" applyAlignment="1">
      <alignment horizontal="left" vertical="center"/>
    </xf>
    <xf numFmtId="0" fontId="6" fillId="0" borderId="1" xfId="1" applyBorder="1" applyAlignment="1">
      <alignment horizontal="left" vertical="center" wrapText="1"/>
    </xf>
    <xf numFmtId="0" fontId="18" fillId="0" borderId="1" xfId="0" applyFont="1" applyBorder="1"/>
    <xf numFmtId="0" fontId="18" fillId="24" borderId="1" xfId="0" applyFont="1" applyFill="1" applyBorder="1"/>
    <xf numFmtId="0" fontId="17" fillId="0" borderId="1" xfId="0" applyFont="1" applyBorder="1"/>
    <xf numFmtId="0" fontId="17" fillId="0" borderId="39" xfId="0" applyFont="1" applyBorder="1"/>
    <xf numFmtId="0" fontId="17" fillId="34" borderId="1" xfId="0" applyFont="1" applyFill="1" applyBorder="1"/>
    <xf numFmtId="0" fontId="17" fillId="26" borderId="1" xfId="0" applyFont="1" applyFill="1" applyBorder="1"/>
    <xf numFmtId="0" fontId="16" fillId="0" borderId="24" xfId="0" applyFont="1" applyBorder="1"/>
    <xf numFmtId="0" fontId="17" fillId="28" borderId="1" xfId="0" applyFont="1" applyFill="1" applyBorder="1"/>
    <xf numFmtId="0" fontId="17" fillId="27" borderId="1" xfId="0" applyFont="1" applyFill="1" applyBorder="1"/>
    <xf numFmtId="0" fontId="17" fillId="32" borderId="1" xfId="0" applyFont="1" applyFill="1" applyBorder="1"/>
    <xf numFmtId="0" fontId="17" fillId="35" borderId="1" xfId="0" applyFont="1" applyFill="1" applyBorder="1"/>
    <xf numFmtId="0" fontId="6" fillId="0" borderId="6" xfId="1" applyBorder="1" applyAlignment="1">
      <alignment horizontal="left" vertical="center"/>
    </xf>
    <xf numFmtId="0" fontId="18" fillId="24" borderId="38" xfId="0" applyFont="1" applyFill="1" applyBorder="1"/>
    <xf numFmtId="0" fontId="20" fillId="0" borderId="38" xfId="0" applyFont="1" applyBorder="1"/>
    <xf numFmtId="0" fontId="0" fillId="0" borderId="38" xfId="1" applyFont="1" applyBorder="1"/>
    <xf numFmtId="0" fontId="18" fillId="24" borderId="7" xfId="0" applyFont="1" applyFill="1" applyBorder="1"/>
    <xf numFmtId="0" fontId="17" fillId="0" borderId="2" xfId="0" applyFont="1" applyBorder="1"/>
    <xf numFmtId="0" fontId="18" fillId="24" borderId="4" xfId="0" applyFont="1" applyFill="1" applyBorder="1"/>
    <xf numFmtId="0" fontId="18" fillId="0" borderId="6" xfId="0" applyFont="1" applyBorder="1"/>
    <xf numFmtId="0" fontId="16" fillId="0" borderId="0" xfId="0" applyFont="1"/>
    <xf numFmtId="0" fontId="5" fillId="3" borderId="77" xfId="0" applyFont="1" applyFill="1" applyBorder="1" applyAlignment="1">
      <alignment wrapText="1"/>
    </xf>
    <xf numFmtId="0" fontId="4" fillId="3" borderId="69" xfId="0" applyFont="1" applyFill="1" applyBorder="1"/>
    <xf numFmtId="0" fontId="21" fillId="36" borderId="75" xfId="0" applyFont="1" applyFill="1" applyBorder="1"/>
    <xf numFmtId="0" fontId="21" fillId="36" borderId="78" xfId="0" applyFont="1" applyFill="1" applyBorder="1"/>
    <xf numFmtId="0" fontId="21" fillId="36" borderId="79" xfId="0" applyFont="1" applyFill="1" applyBorder="1"/>
    <xf numFmtId="0" fontId="5" fillId="37" borderId="75" xfId="0" applyFont="1" applyFill="1" applyBorder="1"/>
    <xf numFmtId="0" fontId="5" fillId="37" borderId="78" xfId="0" applyFont="1" applyFill="1" applyBorder="1"/>
    <xf numFmtId="0" fontId="5" fillId="37" borderId="79" xfId="0" applyFont="1" applyFill="1" applyBorder="1"/>
    <xf numFmtId="0" fontId="5" fillId="3" borderId="75" xfId="0" applyFont="1" applyFill="1" applyBorder="1"/>
    <xf numFmtId="0" fontId="5" fillId="3" borderId="78" xfId="0" applyFont="1" applyFill="1" applyBorder="1"/>
    <xf numFmtId="0" fontId="5" fillId="3" borderId="79" xfId="0" applyFont="1" applyFill="1" applyBorder="1"/>
    <xf numFmtId="0" fontId="21" fillId="38" borderId="76" xfId="0" applyFont="1" applyFill="1" applyBorder="1"/>
    <xf numFmtId="0" fontId="21" fillId="38" borderId="84" xfId="0" applyFont="1" applyFill="1" applyBorder="1"/>
    <xf numFmtId="0" fontId="22" fillId="38" borderId="0" xfId="0" applyFont="1" applyFill="1"/>
    <xf numFmtId="0" fontId="21" fillId="38" borderId="0" xfId="0" applyFont="1" applyFill="1"/>
    <xf numFmtId="0" fontId="21" fillId="38" borderId="85" xfId="0" applyFont="1" applyFill="1" applyBorder="1"/>
    <xf numFmtId="0" fontId="9" fillId="6" borderId="50" xfId="0" applyFont="1" applyFill="1" applyBorder="1" applyAlignment="1">
      <alignment wrapText="1"/>
    </xf>
    <xf numFmtId="0" fontId="9" fillId="6" borderId="69" xfId="0" applyFont="1" applyFill="1" applyBorder="1" applyAlignment="1">
      <alignment wrapText="1"/>
    </xf>
    <xf numFmtId="0" fontId="6" fillId="6" borderId="77" xfId="1" applyFill="1" applyBorder="1"/>
    <xf numFmtId="0" fontId="6" fillId="6" borderId="58" xfId="1" applyFill="1" applyBorder="1"/>
    <xf numFmtId="0" fontId="9" fillId="6" borderId="76" xfId="0" applyFont="1" applyFill="1" applyBorder="1" applyAlignment="1">
      <alignment wrapText="1"/>
    </xf>
    <xf numFmtId="0" fontId="9" fillId="6" borderId="84" xfId="0" applyFont="1" applyFill="1" applyBorder="1" applyAlignment="1">
      <alignment wrapText="1"/>
    </xf>
    <xf numFmtId="0" fontId="9" fillId="6" borderId="0" xfId="0" applyFont="1" applyFill="1" applyAlignment="1">
      <alignment wrapText="1"/>
    </xf>
    <xf numFmtId="0" fontId="4" fillId="7" borderId="77" xfId="0" applyFont="1" applyFill="1" applyBorder="1"/>
    <xf numFmtId="0" fontId="4" fillId="7" borderId="77" xfId="0" quotePrefix="1" applyFont="1" applyFill="1" applyBorder="1"/>
    <xf numFmtId="0" fontId="5" fillId="7" borderId="69" xfId="0" applyFont="1" applyFill="1" applyBorder="1"/>
    <xf numFmtId="0" fontId="6" fillId="7" borderId="68" xfId="1" applyFill="1" applyBorder="1"/>
    <xf numFmtId="0" fontId="4" fillId="7" borderId="68" xfId="0" applyFont="1" applyFill="1" applyBorder="1"/>
    <xf numFmtId="0" fontId="4" fillId="7" borderId="68" xfId="0" quotePrefix="1" applyFont="1" applyFill="1" applyBorder="1"/>
    <xf numFmtId="0" fontId="4" fillId="7" borderId="80" xfId="0" applyFont="1" applyFill="1" applyBorder="1"/>
    <xf numFmtId="0" fontId="6" fillId="7" borderId="77" xfId="1" applyFill="1" applyBorder="1"/>
    <xf numFmtId="0" fontId="4" fillId="7" borderId="69" xfId="0" applyFont="1" applyFill="1" applyBorder="1"/>
    <xf numFmtId="0" fontId="4" fillId="7" borderId="82" xfId="0" applyFont="1" applyFill="1" applyBorder="1"/>
    <xf numFmtId="0" fontId="4" fillId="8" borderId="77" xfId="0" applyFont="1" applyFill="1" applyBorder="1"/>
    <xf numFmtId="0" fontId="4" fillId="8" borderId="77" xfId="0" quotePrefix="1" applyFont="1" applyFill="1" applyBorder="1"/>
    <xf numFmtId="0" fontId="5" fillId="8" borderId="69" xfId="0" applyFont="1" applyFill="1" applyBorder="1"/>
    <xf numFmtId="0" fontId="4" fillId="8" borderId="50" xfId="0" applyFont="1" applyFill="1" applyBorder="1"/>
    <xf numFmtId="0" fontId="6" fillId="8" borderId="67" xfId="1" applyFill="1" applyBorder="1"/>
    <xf numFmtId="0" fontId="4" fillId="8" borderId="67" xfId="0" quotePrefix="1" applyFont="1" applyFill="1" applyBorder="1"/>
    <xf numFmtId="0" fontId="4" fillId="8" borderId="65" xfId="0" applyFont="1" applyFill="1" applyBorder="1"/>
    <xf numFmtId="0" fontId="4" fillId="8" borderId="82" xfId="0" applyFont="1" applyFill="1" applyBorder="1"/>
    <xf numFmtId="0" fontId="4" fillId="8" borderId="58" xfId="0" quotePrefix="1" applyFont="1" applyFill="1" applyBorder="1"/>
    <xf numFmtId="0" fontId="5" fillId="8" borderId="76" xfId="0" applyFont="1" applyFill="1" applyBorder="1"/>
    <xf numFmtId="0" fontId="5" fillId="8" borderId="84" xfId="0" applyFont="1" applyFill="1" applyBorder="1"/>
    <xf numFmtId="0" fontId="5" fillId="8" borderId="0" xfId="0" applyFont="1" applyFill="1"/>
    <xf numFmtId="0" fontId="4" fillId="8" borderId="76" xfId="0" applyFont="1" applyFill="1" applyBorder="1"/>
    <xf numFmtId="0" fontId="4" fillId="8" borderId="84" xfId="0" applyFont="1" applyFill="1" applyBorder="1"/>
    <xf numFmtId="0" fontId="4" fillId="8" borderId="0" xfId="0" applyFont="1" applyFill="1"/>
    <xf numFmtId="0" fontId="4" fillId="8" borderId="75" xfId="0" applyFont="1" applyFill="1" applyBorder="1"/>
    <xf numFmtId="0" fontId="6" fillId="8" borderId="78" xfId="1" applyFill="1" applyBorder="1"/>
    <xf numFmtId="0" fontId="4" fillId="8" borderId="78" xfId="0" applyFont="1" applyFill="1" applyBorder="1"/>
    <xf numFmtId="0" fontId="4" fillId="8" borderId="78" xfId="0" quotePrefix="1" applyFont="1" applyFill="1" applyBorder="1"/>
    <xf numFmtId="0" fontId="4" fillId="8" borderId="79" xfId="0" applyFont="1" applyFill="1" applyBorder="1"/>
    <xf numFmtId="0" fontId="4" fillId="8" borderId="85" xfId="0" applyFont="1" applyFill="1" applyBorder="1"/>
    <xf numFmtId="0" fontId="5" fillId="8" borderId="67" xfId="0" applyFont="1" applyFill="1" applyBorder="1"/>
    <xf numFmtId="0" fontId="5" fillId="8" borderId="65" xfId="0" applyFont="1" applyFill="1" applyBorder="1"/>
    <xf numFmtId="0" fontId="4" fillId="8" borderId="83" xfId="0" applyFont="1" applyFill="1" applyBorder="1"/>
    <xf numFmtId="0" fontId="5" fillId="8" borderId="75" xfId="0" applyFont="1" applyFill="1" applyBorder="1"/>
    <xf numFmtId="0" fontId="5" fillId="8" borderId="78" xfId="0" applyFont="1" applyFill="1" applyBorder="1"/>
    <xf numFmtId="0" fontId="5" fillId="8" borderId="79" xfId="0" applyFont="1" applyFill="1" applyBorder="1"/>
    <xf numFmtId="0" fontId="11" fillId="8" borderId="78" xfId="0" applyFont="1" applyFill="1" applyBorder="1"/>
    <xf numFmtId="0" fontId="4" fillId="8" borderId="86" xfId="0" applyFont="1" applyFill="1" applyBorder="1"/>
    <xf numFmtId="0" fontId="4" fillId="9" borderId="77" xfId="0" applyFont="1" applyFill="1" applyBorder="1"/>
    <xf numFmtId="0" fontId="4" fillId="9" borderId="77" xfId="0" quotePrefix="1" applyFont="1" applyFill="1" applyBorder="1"/>
    <xf numFmtId="0" fontId="5" fillId="9" borderId="69" xfId="0" applyFont="1" applyFill="1" applyBorder="1"/>
    <xf numFmtId="0" fontId="4" fillId="9" borderId="50" xfId="0" applyFont="1" applyFill="1" applyBorder="1"/>
    <xf numFmtId="0" fontId="4" fillId="9" borderId="69" xfId="0" applyFont="1" applyFill="1" applyBorder="1"/>
    <xf numFmtId="0" fontId="6" fillId="9" borderId="77" xfId="1" applyFill="1" applyBorder="1"/>
    <xf numFmtId="0" fontId="4" fillId="9" borderId="75" xfId="0" applyFont="1" applyFill="1" applyBorder="1"/>
    <xf numFmtId="0" fontId="4" fillId="9" borderId="78" xfId="0" applyFont="1" applyFill="1" applyBorder="1"/>
    <xf numFmtId="0" fontId="4" fillId="9" borderId="78" xfId="0" quotePrefix="1" applyFont="1" applyFill="1" applyBorder="1"/>
    <xf numFmtId="0" fontId="4" fillId="9" borderId="79" xfId="0" applyFont="1" applyFill="1" applyBorder="1"/>
    <xf numFmtId="0" fontId="4" fillId="9" borderId="72" xfId="0" applyFont="1" applyFill="1" applyBorder="1"/>
    <xf numFmtId="0" fontId="4" fillId="9" borderId="73" xfId="0" applyFont="1" applyFill="1" applyBorder="1"/>
    <xf numFmtId="0" fontId="4" fillId="9" borderId="73" xfId="0" quotePrefix="1" applyFont="1" applyFill="1" applyBorder="1"/>
    <xf numFmtId="0" fontId="4" fillId="9" borderId="74" xfId="0" applyFont="1" applyFill="1" applyBorder="1"/>
    <xf numFmtId="0" fontId="4" fillId="7" borderId="76" xfId="0" applyFont="1" applyFill="1" applyBorder="1"/>
    <xf numFmtId="0" fontId="6" fillId="7" borderId="84" xfId="1" applyFill="1" applyBorder="1"/>
    <xf numFmtId="0" fontId="4" fillId="7" borderId="84" xfId="0" applyFont="1" applyFill="1" applyBorder="1"/>
    <xf numFmtId="0" fontId="4" fillId="7" borderId="84" xfId="0" quotePrefix="1" applyFont="1" applyFill="1" applyBorder="1"/>
    <xf numFmtId="0" fontId="4" fillId="7" borderId="0" xfId="0" applyFont="1" applyFill="1"/>
    <xf numFmtId="0" fontId="4" fillId="8" borderId="87" xfId="0" applyFont="1" applyFill="1" applyBorder="1"/>
    <xf numFmtId="0" fontId="4" fillId="8" borderId="88" xfId="0" applyFont="1" applyFill="1" applyBorder="1"/>
    <xf numFmtId="0" fontId="4" fillId="8" borderId="89" xfId="0" applyFont="1" applyFill="1" applyBorder="1"/>
    <xf numFmtId="0" fontId="4" fillId="9" borderId="87" xfId="0" applyFont="1" applyFill="1" applyBorder="1"/>
    <xf numFmtId="0" fontId="6" fillId="9" borderId="88" xfId="1" applyFill="1" applyBorder="1"/>
    <xf numFmtId="0" fontId="4" fillId="9" borderId="88" xfId="0" applyFont="1" applyFill="1" applyBorder="1"/>
    <xf numFmtId="0" fontId="4" fillId="9" borderId="88" xfId="0" quotePrefix="1" applyFont="1" applyFill="1" applyBorder="1" applyAlignment="1">
      <alignment wrapText="1"/>
    </xf>
    <xf numFmtId="0" fontId="4" fillId="9" borderId="90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8" fillId="0" borderId="39" xfId="0" applyFont="1" applyBorder="1"/>
    <xf numFmtId="14" fontId="19" fillId="24" borderId="44" xfId="0" applyNumberFormat="1" applyFont="1" applyFill="1" applyBorder="1"/>
    <xf numFmtId="0" fontId="9" fillId="0" borderId="1" xfId="0" applyFont="1" applyBorder="1" applyAlignment="1">
      <alignment horizontal="left" vertical="center" wrapText="1"/>
    </xf>
    <xf numFmtId="0" fontId="25" fillId="2" borderId="3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2" borderId="42" xfId="0" applyFont="1" applyFill="1" applyBorder="1" applyAlignment="1">
      <alignment horizontal="center" vertical="center"/>
    </xf>
    <xf numFmtId="0" fontId="25" fillId="2" borderId="67" xfId="0" applyFont="1" applyFill="1" applyBorder="1" applyAlignment="1">
      <alignment horizontal="center" vertical="center"/>
    </xf>
    <xf numFmtId="0" fontId="13" fillId="0" borderId="68" xfId="0" quotePrefix="1" applyFont="1" applyBorder="1" applyAlignment="1">
      <alignment horizontal="left"/>
    </xf>
    <xf numFmtId="0" fontId="13" fillId="0" borderId="38" xfId="0" applyFont="1" applyBorder="1"/>
    <xf numFmtId="0" fontId="24" fillId="0" borderId="42" xfId="0" applyFont="1" applyBorder="1"/>
    <xf numFmtId="0" fontId="0" fillId="0" borderId="38" xfId="0" applyBorder="1"/>
    <xf numFmtId="0" fontId="0" fillId="0" borderId="68" xfId="0" applyBorder="1"/>
    <xf numFmtId="0" fontId="0" fillId="0" borderId="67" xfId="0" applyBorder="1"/>
    <xf numFmtId="0" fontId="23" fillId="0" borderId="78" xfId="0" applyFont="1" applyBorder="1"/>
    <xf numFmtId="0" fontId="0" fillId="0" borderId="67" xfId="0" quotePrefix="1" applyBorder="1"/>
    <xf numFmtId="0" fontId="0" fillId="0" borderId="39" xfId="0" applyBorder="1"/>
    <xf numFmtId="0" fontId="13" fillId="0" borderId="40" xfId="0" applyFont="1" applyBorder="1"/>
    <xf numFmtId="0" fontId="24" fillId="0" borderId="61" xfId="0" applyFont="1" applyBorder="1"/>
    <xf numFmtId="0" fontId="13" fillId="0" borderId="1" xfId="0" applyFont="1" applyBorder="1"/>
    <xf numFmtId="0" fontId="13" fillId="0" borderId="6" xfId="0" applyFont="1" applyBorder="1"/>
    <xf numFmtId="0" fontId="24" fillId="0" borderId="7" xfId="0" applyFont="1" applyBorder="1"/>
    <xf numFmtId="0" fontId="0" fillId="0" borderId="4" xfId="0" applyBorder="1"/>
    <xf numFmtId="0" fontId="1" fillId="15" borderId="1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 wrapText="1"/>
    </xf>
    <xf numFmtId="0" fontId="3" fillId="0" borderId="0" xfId="0" applyFont="1"/>
    <xf numFmtId="0" fontId="6" fillId="0" borderId="42" xfId="1" applyBorder="1" applyAlignment="1"/>
    <xf numFmtId="0" fontId="6" fillId="0" borderId="38" xfId="1" applyBorder="1" applyAlignment="1"/>
    <xf numFmtId="0" fontId="3" fillId="0" borderId="2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4" fillId="0" borderId="0" xfId="0" applyFont="1"/>
    <xf numFmtId="0" fontId="9" fillId="0" borderId="1" xfId="0" applyFont="1" applyBorder="1" applyAlignment="1">
      <alignment horizontal="left" vertical="center"/>
    </xf>
    <xf numFmtId="0" fontId="10" fillId="0" borderId="41" xfId="1" applyFont="1" applyFill="1" applyBorder="1" applyAlignment="1">
      <alignment horizontal="left" vertical="center"/>
    </xf>
    <xf numFmtId="0" fontId="7" fillId="13" borderId="42" xfId="0" applyFont="1" applyFill="1" applyBorder="1" applyAlignment="1">
      <alignment horizontal="left"/>
    </xf>
    <xf numFmtId="0" fontId="5" fillId="14" borderId="42" xfId="0" applyFont="1" applyFill="1" applyBorder="1" applyAlignment="1">
      <alignment horizontal="left"/>
    </xf>
    <xf numFmtId="0" fontId="5" fillId="3" borderId="42" xfId="0" applyFont="1" applyFill="1" applyBorder="1" applyAlignment="1">
      <alignment horizontal="left"/>
    </xf>
    <xf numFmtId="0" fontId="2" fillId="6" borderId="51" xfId="0" applyFont="1" applyFill="1" applyBorder="1" applyAlignment="1">
      <alignment horizontal="left" vertical="center" wrapText="1"/>
    </xf>
    <xf numFmtId="0" fontId="2" fillId="6" borderId="50" xfId="0" applyFont="1" applyFill="1" applyBorder="1"/>
    <xf numFmtId="0" fontId="2" fillId="6" borderId="51" xfId="0" applyFont="1" applyFill="1" applyBorder="1"/>
    <xf numFmtId="0" fontId="2" fillId="6" borderId="58" xfId="0" applyFont="1" applyFill="1" applyBorder="1"/>
    <xf numFmtId="0" fontId="2" fillId="6" borderId="50" xfId="0" applyFont="1" applyFill="1" applyBorder="1" applyAlignment="1">
      <alignment horizontal="left" vertical="center"/>
    </xf>
    <xf numFmtId="0" fontId="2" fillId="6" borderId="51" xfId="0" applyFont="1" applyFill="1" applyBorder="1" applyAlignment="1">
      <alignment horizontal="left" vertical="center"/>
    </xf>
    <xf numFmtId="0" fontId="2" fillId="6" borderId="71" xfId="0" applyFont="1" applyFill="1" applyBorder="1"/>
    <xf numFmtId="0" fontId="2" fillId="6" borderId="52" xfId="0" applyFont="1" applyFill="1" applyBorder="1"/>
    <xf numFmtId="0" fontId="2" fillId="6" borderId="60" xfId="0" applyFont="1" applyFill="1" applyBorder="1"/>
    <xf numFmtId="0" fontId="2" fillId="6" borderId="40" xfId="0" applyFont="1" applyFill="1" applyBorder="1"/>
    <xf numFmtId="0" fontId="2" fillId="6" borderId="61" xfId="0" applyFont="1" applyFill="1" applyBorder="1"/>
    <xf numFmtId="0" fontId="2" fillId="6" borderId="60" xfId="0" applyFont="1" applyFill="1" applyBorder="1" applyAlignment="1">
      <alignment horizontal="left" vertical="center"/>
    </xf>
    <xf numFmtId="0" fontId="2" fillId="6" borderId="40" xfId="0" applyFont="1" applyFill="1" applyBorder="1" applyAlignment="1">
      <alignment horizontal="left" vertical="center"/>
    </xf>
    <xf numFmtId="0" fontId="2" fillId="6" borderId="76" xfId="0" applyFont="1" applyFill="1" applyBorder="1"/>
    <xf numFmtId="0" fontId="2" fillId="6" borderId="77" xfId="0" applyFont="1" applyFill="1" applyBorder="1" applyAlignment="1">
      <alignment wrapText="1"/>
    </xf>
    <xf numFmtId="0" fontId="2" fillId="6" borderId="77" xfId="0" applyFont="1" applyFill="1" applyBorder="1"/>
    <xf numFmtId="0" fontId="2" fillId="6" borderId="77" xfId="0" quotePrefix="1" applyFont="1" applyFill="1" applyBorder="1"/>
    <xf numFmtId="0" fontId="2" fillId="6" borderId="69" xfId="0" applyFont="1" applyFill="1" applyBorder="1"/>
    <xf numFmtId="0" fontId="2" fillId="6" borderId="58" xfId="0" quotePrefix="1" applyFont="1" applyFill="1" applyBorder="1"/>
    <xf numFmtId="0" fontId="2" fillId="6" borderId="84" xfId="0" applyFont="1" applyFill="1" applyBorder="1"/>
    <xf numFmtId="0" fontId="2" fillId="6" borderId="0" xfId="0" applyFont="1" applyFill="1"/>
    <xf numFmtId="0" fontId="2" fillId="6" borderId="84" xfId="0" quotePrefix="1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38" xfId="0" applyFont="1" applyBorder="1" applyAlignment="1">
      <alignment vertical="center"/>
    </xf>
    <xf numFmtId="0" fontId="3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vertical="center"/>
    </xf>
    <xf numFmtId="0" fontId="2" fillId="0" borderId="38" xfId="0" applyFont="1" applyBorder="1" applyAlignment="1">
      <alignment horizontal="left" vertical="center"/>
    </xf>
    <xf numFmtId="0" fontId="3" fillId="0" borderId="38" xfId="0" quotePrefix="1" applyFont="1" applyBorder="1" applyAlignment="1">
      <alignment vertical="center"/>
    </xf>
    <xf numFmtId="0" fontId="2" fillId="6" borderId="3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/>
    </xf>
    <xf numFmtId="0" fontId="2" fillId="6" borderId="14" xfId="0" applyFont="1" applyFill="1" applyBorder="1"/>
    <xf numFmtId="0" fontId="2" fillId="6" borderId="15" xfId="0" applyFont="1" applyFill="1" applyBorder="1"/>
    <xf numFmtId="0" fontId="2" fillId="6" borderId="16" xfId="0" applyFont="1" applyFill="1" applyBorder="1" applyAlignment="1">
      <alignment horizontal="left" vertical="center" wrapText="1"/>
    </xf>
    <xf numFmtId="0" fontId="2" fillId="6" borderId="17" xfId="0" applyFont="1" applyFill="1" applyBorder="1"/>
    <xf numFmtId="0" fontId="2" fillId="6" borderId="18" xfId="0" applyFont="1" applyFill="1" applyBorder="1"/>
    <xf numFmtId="0" fontId="2" fillId="6" borderId="19" xfId="0" applyFont="1" applyFill="1" applyBorder="1"/>
    <xf numFmtId="0" fontId="2" fillId="6" borderId="17" xfId="0" applyFont="1" applyFill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10" fillId="0" borderId="40" xfId="1" applyFont="1" applyBorder="1" applyAlignment="1">
      <alignment horizontal="left" vertical="center"/>
    </xf>
    <xf numFmtId="0" fontId="10" fillId="0" borderId="38" xfId="1" applyFont="1" applyFill="1" applyBorder="1" applyAlignment="1">
      <alignment horizontal="left" vertical="center" wrapText="1"/>
    </xf>
    <xf numFmtId="0" fontId="10" fillId="0" borderId="38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Fill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center" wrapText="1"/>
    </xf>
    <xf numFmtId="1" fontId="26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6" fillId="0" borderId="39" xfId="1" applyFill="1" applyBorder="1" applyAlignment="1">
      <alignment horizontal="left" vertical="center" wrapText="1"/>
    </xf>
    <xf numFmtId="0" fontId="12" fillId="0" borderId="1" xfId="0" applyFont="1" applyBorder="1" applyAlignment="1">
      <alignment horizontal="fill" vertical="top"/>
    </xf>
    <xf numFmtId="0" fontId="0" fillId="0" borderId="1" xfId="0" applyBorder="1" applyAlignment="1">
      <alignment horizontal="fill" vertical="top"/>
    </xf>
    <xf numFmtId="0" fontId="6" fillId="0" borderId="1" xfId="1" applyFill="1" applyBorder="1" applyAlignment="1">
      <alignment horizontal="fill" vertical="top" wrapText="1"/>
    </xf>
    <xf numFmtId="0" fontId="26" fillId="0" borderId="63" xfId="0" applyFont="1" applyBorder="1" applyAlignment="1">
      <alignment horizontal="fill" vertical="top"/>
    </xf>
    <xf numFmtId="0" fontId="6" fillId="0" borderId="1" xfId="1" applyFill="1" applyBorder="1" applyAlignment="1">
      <alignment horizontal="fill" vertical="top"/>
    </xf>
    <xf numFmtId="0" fontId="6" fillId="0" borderId="38" xfId="1" applyFill="1" applyBorder="1" applyAlignment="1">
      <alignment horizontal="left" vertical="top"/>
    </xf>
    <xf numFmtId="0" fontId="6" fillId="0" borderId="39" xfId="1" applyFill="1" applyBorder="1" applyAlignment="1">
      <alignment horizontal="left" vertical="top" wrapText="1"/>
    </xf>
    <xf numFmtId="0" fontId="6" fillId="0" borderId="1" xfId="1" applyFill="1" applyBorder="1" applyAlignment="1">
      <alignment horizontal="left" vertical="center"/>
    </xf>
    <xf numFmtId="0" fontId="27" fillId="8" borderId="53" xfId="0" applyFont="1" applyFill="1" applyBorder="1" applyAlignment="1">
      <alignment horizontal="left" vertical="center"/>
    </xf>
    <xf numFmtId="0" fontId="27" fillId="8" borderId="38" xfId="0" applyFont="1" applyFill="1" applyBorder="1"/>
    <xf numFmtId="0" fontId="27" fillId="8" borderId="38" xfId="0" applyFont="1" applyFill="1" applyBorder="1" applyAlignment="1">
      <alignment horizontal="left" vertical="center"/>
    </xf>
    <xf numFmtId="0" fontId="27" fillId="8" borderId="42" xfId="0" applyFont="1" applyFill="1" applyBorder="1"/>
    <xf numFmtId="0" fontId="32" fillId="3" borderId="50" xfId="0" applyFont="1" applyFill="1" applyBorder="1"/>
    <xf numFmtId="0" fontId="32" fillId="3" borderId="51" xfId="0" applyFont="1" applyFill="1" applyBorder="1" applyAlignment="1">
      <alignment wrapText="1"/>
    </xf>
    <xf numFmtId="0" fontId="27" fillId="3" borderId="58" xfId="0" applyFont="1" applyFill="1" applyBorder="1" applyAlignment="1">
      <alignment horizontal="left"/>
    </xf>
    <xf numFmtId="0" fontId="33" fillId="13" borderId="53" xfId="0" applyFont="1" applyFill="1" applyBorder="1"/>
    <xf numFmtId="0" fontId="33" fillId="13" borderId="38" xfId="0" applyFont="1" applyFill="1" applyBorder="1"/>
    <xf numFmtId="0" fontId="33" fillId="13" borderId="42" xfId="0" applyFont="1" applyFill="1" applyBorder="1" applyAlignment="1">
      <alignment horizontal="left"/>
    </xf>
    <xf numFmtId="0" fontId="32" fillId="14" borderId="53" xfId="0" applyFont="1" applyFill="1" applyBorder="1"/>
    <xf numFmtId="0" fontId="32" fillId="14" borderId="38" xfId="0" applyFont="1" applyFill="1" applyBorder="1"/>
    <xf numFmtId="0" fontId="32" fillId="14" borderId="42" xfId="0" applyFont="1" applyFill="1" applyBorder="1" applyAlignment="1">
      <alignment horizontal="left"/>
    </xf>
    <xf numFmtId="0" fontId="32" fillId="3" borderId="53" xfId="0" applyFont="1" applyFill="1" applyBorder="1"/>
    <xf numFmtId="0" fontId="32" fillId="3" borderId="38" xfId="0" applyFont="1" applyFill="1" applyBorder="1"/>
    <xf numFmtId="0" fontId="32" fillId="3" borderId="42" xfId="0" applyFont="1" applyFill="1" applyBorder="1" applyAlignment="1">
      <alignment horizontal="left"/>
    </xf>
    <xf numFmtId="0" fontId="33" fillId="12" borderId="60" xfId="0" applyFont="1" applyFill="1" applyBorder="1"/>
    <xf numFmtId="0" fontId="33" fillId="12" borderId="40" xfId="0" applyFont="1" applyFill="1" applyBorder="1"/>
    <xf numFmtId="0" fontId="34" fillId="12" borderId="61" xfId="0" applyFont="1" applyFill="1" applyBorder="1" applyAlignment="1">
      <alignment horizontal="left"/>
    </xf>
    <xf numFmtId="0" fontId="33" fillId="12" borderId="60" xfId="0" applyFont="1" applyFill="1" applyBorder="1" applyAlignment="1">
      <alignment vertical="top"/>
    </xf>
    <xf numFmtId="0" fontId="33" fillId="12" borderId="40" xfId="0" applyFont="1" applyFill="1" applyBorder="1" applyAlignment="1">
      <alignment vertical="top"/>
    </xf>
    <xf numFmtId="0" fontId="33" fillId="12" borderId="61" xfId="0" applyFont="1" applyFill="1" applyBorder="1" applyAlignment="1">
      <alignment vertical="top"/>
    </xf>
    <xf numFmtId="0" fontId="33" fillId="12" borderId="62" xfId="0" applyFont="1" applyFill="1" applyBorder="1" applyAlignment="1">
      <alignment vertical="top"/>
    </xf>
    <xf numFmtId="0" fontId="35" fillId="6" borderId="50" xfId="0" applyFont="1" applyFill="1" applyBorder="1" applyAlignment="1">
      <alignment horizontal="left" vertical="center" wrapText="1"/>
    </xf>
    <xf numFmtId="0" fontId="26" fillId="6" borderId="51" xfId="0" applyFont="1" applyFill="1" applyBorder="1" applyAlignment="1">
      <alignment horizontal="left" vertical="center" wrapText="1"/>
    </xf>
    <xf numFmtId="0" fontId="35" fillId="6" borderId="58" xfId="0" applyFont="1" applyFill="1" applyBorder="1" applyAlignment="1">
      <alignment horizontal="left" vertical="center" wrapText="1"/>
    </xf>
    <xf numFmtId="0" fontId="26" fillId="6" borderId="50" xfId="0" applyFont="1" applyFill="1" applyBorder="1"/>
    <xf numFmtId="0" fontId="26" fillId="6" borderId="51" xfId="0" applyFont="1" applyFill="1" applyBorder="1"/>
    <xf numFmtId="0" fontId="26" fillId="6" borderId="58" xfId="0" applyFont="1" applyFill="1" applyBorder="1"/>
    <xf numFmtId="0" fontId="26" fillId="6" borderId="50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left" vertical="center"/>
    </xf>
    <xf numFmtId="0" fontId="26" fillId="6" borderId="71" xfId="0" applyFont="1" applyFill="1" applyBorder="1"/>
    <xf numFmtId="0" fontId="26" fillId="6" borderId="52" xfId="0" applyFont="1" applyFill="1" applyBorder="1"/>
    <xf numFmtId="0" fontId="35" fillId="6" borderId="60" xfId="0" applyFont="1" applyFill="1" applyBorder="1" applyAlignment="1">
      <alignment horizontal="left" vertical="center" wrapText="1"/>
    </xf>
    <xf numFmtId="0" fontId="35" fillId="6" borderId="40" xfId="0" applyFont="1" applyFill="1" applyBorder="1" applyAlignment="1">
      <alignment horizontal="left" vertical="center" wrapText="1"/>
    </xf>
    <xf numFmtId="0" fontId="35" fillId="6" borderId="61" xfId="0" applyFont="1" applyFill="1" applyBorder="1" applyAlignment="1">
      <alignment horizontal="left" vertical="center" wrapText="1"/>
    </xf>
    <xf numFmtId="0" fontId="26" fillId="6" borderId="60" xfId="0" applyFont="1" applyFill="1" applyBorder="1"/>
    <xf numFmtId="0" fontId="26" fillId="6" borderId="40" xfId="0" applyFont="1" applyFill="1" applyBorder="1"/>
    <xf numFmtId="0" fontId="26" fillId="6" borderId="61" xfId="0" applyFont="1" applyFill="1" applyBorder="1"/>
    <xf numFmtId="0" fontId="26" fillId="6" borderId="60" xfId="0" applyFont="1" applyFill="1" applyBorder="1" applyAlignment="1">
      <alignment horizontal="left" vertical="center"/>
    </xf>
    <xf numFmtId="0" fontId="26" fillId="6" borderId="40" xfId="0" applyFont="1" applyFill="1" applyBorder="1" applyAlignment="1">
      <alignment horizontal="left" vertical="center"/>
    </xf>
    <xf numFmtId="0" fontId="32" fillId="7" borderId="50" xfId="0" applyFont="1" applyFill="1" applyBorder="1"/>
    <xf numFmtId="0" fontId="27" fillId="7" borderId="51" xfId="0" applyFont="1" applyFill="1" applyBorder="1"/>
    <xf numFmtId="0" fontId="32" fillId="7" borderId="58" xfId="0" applyFont="1" applyFill="1" applyBorder="1" applyAlignment="1">
      <alignment horizontal="left"/>
    </xf>
    <xf numFmtId="0" fontId="27" fillId="7" borderId="50" xfId="0" applyFont="1" applyFill="1" applyBorder="1"/>
    <xf numFmtId="0" fontId="27" fillId="7" borderId="58" xfId="0" applyFont="1" applyFill="1" applyBorder="1"/>
    <xf numFmtId="0" fontId="27" fillId="7" borderId="60" xfId="0" applyFont="1" applyFill="1" applyBorder="1"/>
    <xf numFmtId="0" fontId="27" fillId="7" borderId="40" xfId="0" applyFont="1" applyFill="1" applyBorder="1"/>
    <xf numFmtId="0" fontId="27" fillId="7" borderId="62" xfId="0" applyFont="1" applyFill="1" applyBorder="1"/>
    <xf numFmtId="0" fontId="27" fillId="7" borderId="50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left" vertical="center"/>
    </xf>
    <xf numFmtId="0" fontId="27" fillId="7" borderId="52" xfId="0" applyFont="1" applyFill="1" applyBorder="1"/>
    <xf numFmtId="0" fontId="32" fillId="7" borderId="60" xfId="0" applyFont="1" applyFill="1" applyBorder="1"/>
    <xf numFmtId="0" fontId="32" fillId="7" borderId="40" xfId="0" applyFont="1" applyFill="1" applyBorder="1"/>
    <xf numFmtId="0" fontId="32" fillId="7" borderId="61" xfId="0" applyFont="1" applyFill="1" applyBorder="1" applyAlignment="1">
      <alignment horizontal="left"/>
    </xf>
    <xf numFmtId="0" fontId="27" fillId="7" borderId="40" xfId="0" applyFont="1" applyFill="1" applyBorder="1" applyAlignment="1">
      <alignment horizontal="left" vertical="center"/>
    </xf>
    <xf numFmtId="0" fontId="27" fillId="7" borderId="61" xfId="0" applyFont="1" applyFill="1" applyBorder="1"/>
    <xf numFmtId="0" fontId="32" fillId="8" borderId="50" xfId="0" applyFont="1" applyFill="1" applyBorder="1"/>
    <xf numFmtId="0" fontId="27" fillId="8" borderId="51" xfId="0" applyFont="1" applyFill="1" applyBorder="1"/>
    <xf numFmtId="0" fontId="32" fillId="8" borderId="58" xfId="0" applyFont="1" applyFill="1" applyBorder="1" applyAlignment="1">
      <alignment horizontal="left" vertical="center"/>
    </xf>
    <xf numFmtId="0" fontId="27" fillId="8" borderId="50" xfId="0" applyFont="1" applyFill="1" applyBorder="1" applyAlignment="1">
      <alignment horizontal="left" vertical="center"/>
    </xf>
    <xf numFmtId="0" fontId="27" fillId="8" borderId="51" xfId="0" applyFont="1" applyFill="1" applyBorder="1" applyAlignment="1">
      <alignment horizontal="left" vertical="center"/>
    </xf>
    <xf numFmtId="0" fontId="27" fillId="8" borderId="58" xfId="0" applyFont="1" applyFill="1" applyBorder="1"/>
    <xf numFmtId="0" fontId="27" fillId="8" borderId="52" xfId="0" applyFont="1" applyFill="1" applyBorder="1"/>
    <xf numFmtId="0" fontId="27" fillId="8" borderId="69" xfId="0" applyFont="1" applyFill="1" applyBorder="1"/>
    <xf numFmtId="0" fontId="32" fillId="8" borderId="53" xfId="0" applyFont="1" applyFill="1" applyBorder="1"/>
    <xf numFmtId="0" fontId="32" fillId="8" borderId="38" xfId="0" applyFont="1" applyFill="1" applyBorder="1"/>
    <xf numFmtId="0" fontId="32" fillId="8" borderId="42" xfId="0" applyFont="1" applyFill="1" applyBorder="1" applyAlignment="1">
      <alignment horizontal="left"/>
    </xf>
    <xf numFmtId="0" fontId="27" fillId="8" borderId="53" xfId="0" applyFont="1" applyFill="1" applyBorder="1"/>
    <xf numFmtId="0" fontId="27" fillId="8" borderId="54" xfId="0" applyFont="1" applyFill="1" applyBorder="1"/>
    <xf numFmtId="0" fontId="27" fillId="8" borderId="67" xfId="0" applyFont="1" applyFill="1" applyBorder="1"/>
    <xf numFmtId="0" fontId="32" fillId="8" borderId="60" xfId="0" applyFont="1" applyFill="1" applyBorder="1"/>
    <xf numFmtId="0" fontId="32" fillId="8" borderId="40" xfId="0" applyFont="1" applyFill="1" applyBorder="1"/>
    <xf numFmtId="0" fontId="32" fillId="8" borderId="61" xfId="0" applyFont="1" applyFill="1" applyBorder="1" applyAlignment="1">
      <alignment horizontal="left"/>
    </xf>
    <xf numFmtId="0" fontId="27" fillId="8" borderId="60" xfId="0" applyFont="1" applyFill="1" applyBorder="1"/>
    <xf numFmtId="0" fontId="27" fillId="8" borderId="40" xfId="0" applyFont="1" applyFill="1" applyBorder="1"/>
    <xf numFmtId="0" fontId="27" fillId="8" borderId="40" xfId="0" applyFont="1" applyFill="1" applyBorder="1" applyAlignment="1">
      <alignment horizontal="left" vertical="center"/>
    </xf>
    <xf numFmtId="0" fontId="27" fillId="8" borderId="61" xfId="0" applyFont="1" applyFill="1" applyBorder="1"/>
    <xf numFmtId="0" fontId="27" fillId="8" borderId="62" xfId="0" applyFont="1" applyFill="1" applyBorder="1"/>
    <xf numFmtId="0" fontId="27" fillId="8" borderId="68" xfId="0" applyFont="1" applyFill="1" applyBorder="1"/>
    <xf numFmtId="0" fontId="27" fillId="8" borderId="55" xfId="0" applyFont="1" applyFill="1" applyBorder="1"/>
    <xf numFmtId="0" fontId="27" fillId="8" borderId="56" xfId="0" applyFont="1" applyFill="1" applyBorder="1"/>
    <xf numFmtId="0" fontId="27" fillId="8" borderId="57" xfId="0" applyFont="1" applyFill="1" applyBorder="1"/>
    <xf numFmtId="0" fontId="27" fillId="8" borderId="70" xfId="0" applyFont="1" applyFill="1" applyBorder="1"/>
    <xf numFmtId="0" fontId="32" fillId="9" borderId="50" xfId="0" applyFont="1" applyFill="1" applyBorder="1"/>
    <xf numFmtId="0" fontId="27" fillId="9" borderId="51" xfId="0" applyFont="1" applyFill="1" applyBorder="1"/>
    <xf numFmtId="0" fontId="32" fillId="9" borderId="58" xfId="0" applyFont="1" applyFill="1" applyBorder="1" applyAlignment="1">
      <alignment horizontal="left"/>
    </xf>
    <xf numFmtId="0" fontId="27" fillId="9" borderId="50" xfId="0" applyFont="1" applyFill="1" applyBorder="1" applyAlignment="1">
      <alignment horizontal="left" vertical="center"/>
    </xf>
    <xf numFmtId="0" fontId="27" fillId="9" borderId="51" xfId="0" applyFont="1" applyFill="1" applyBorder="1" applyAlignment="1">
      <alignment horizontal="left" vertical="center"/>
    </xf>
    <xf numFmtId="0" fontId="27" fillId="9" borderId="58" xfId="0" applyFont="1" applyFill="1" applyBorder="1" applyAlignment="1">
      <alignment horizontal="left" vertical="center"/>
    </xf>
    <xf numFmtId="0" fontId="27" fillId="9" borderId="75" xfId="0" applyFont="1" applyFill="1" applyBorder="1" applyAlignment="1">
      <alignment horizontal="left" vertical="center"/>
    </xf>
    <xf numFmtId="0" fontId="27" fillId="9" borderId="41" xfId="0" applyFont="1" applyFill="1" applyBorder="1" applyAlignment="1">
      <alignment horizontal="left" vertical="center"/>
    </xf>
    <xf numFmtId="0" fontId="27" fillId="9" borderId="73" xfId="0" applyFont="1" applyFill="1" applyBorder="1" applyAlignment="1">
      <alignment horizontal="left" vertical="center"/>
    </xf>
    <xf numFmtId="0" fontId="27" fillId="9" borderId="72" xfId="0" applyFont="1" applyFill="1" applyBorder="1" applyAlignment="1">
      <alignment horizontal="left" vertical="center"/>
    </xf>
    <xf numFmtId="0" fontId="27" fillId="9" borderId="74" xfId="0" applyFont="1" applyFill="1" applyBorder="1" applyAlignment="1">
      <alignment horizontal="left" vertical="center"/>
    </xf>
    <xf numFmtId="0" fontId="32" fillId="9" borderId="55" xfId="0" applyFont="1" applyFill="1" applyBorder="1"/>
    <xf numFmtId="0" fontId="32" fillId="9" borderId="56" xfId="0" applyFont="1" applyFill="1" applyBorder="1"/>
    <xf numFmtId="0" fontId="27" fillId="9" borderId="59" xfId="0" applyFont="1" applyFill="1" applyBorder="1" applyAlignment="1">
      <alignment horizontal="left"/>
    </xf>
    <xf numFmtId="0" fontId="27" fillId="9" borderId="55" xfId="0" applyFont="1" applyFill="1" applyBorder="1" applyAlignment="1">
      <alignment horizontal="left" vertical="center"/>
    </xf>
    <xf numFmtId="0" fontId="27" fillId="9" borderId="56" xfId="0" applyFont="1" applyFill="1" applyBorder="1" applyAlignment="1">
      <alignment horizontal="left" vertical="center"/>
    </xf>
    <xf numFmtId="0" fontId="27" fillId="9" borderId="59" xfId="0" applyFont="1" applyFill="1" applyBorder="1" applyAlignment="1">
      <alignment horizontal="left" vertical="center"/>
    </xf>
    <xf numFmtId="0" fontId="27" fillId="9" borderId="56" xfId="0" applyFont="1" applyFill="1" applyBorder="1" applyAlignment="1">
      <alignment horizontal="left" vertical="center" wrapText="1"/>
    </xf>
    <xf numFmtId="0" fontId="27" fillId="9" borderId="57" xfId="0" applyFont="1" applyFill="1" applyBorder="1" applyAlignment="1">
      <alignment horizontal="left" vertical="center"/>
    </xf>
    <xf numFmtId="0" fontId="0" fillId="0" borderId="38" xfId="0" applyBorder="1" applyAlignment="1">
      <alignment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38" xfId="0" quotePrefix="1" applyFont="1" applyBorder="1" applyAlignment="1">
      <alignment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fill" vertical="top" wrapText="1"/>
    </xf>
    <xf numFmtId="0" fontId="24" fillId="0" borderId="40" xfId="0" applyFont="1" applyBorder="1"/>
    <xf numFmtId="0" fontId="13" fillId="0" borderId="7" xfId="0" applyFont="1" applyBorder="1"/>
    <xf numFmtId="0" fontId="6" fillId="0" borderId="42" xfId="1" applyFill="1" applyBorder="1"/>
    <xf numFmtId="0" fontId="24" fillId="0" borderId="1" xfId="0" applyFont="1" applyBorder="1"/>
    <xf numFmtId="0" fontId="6" fillId="0" borderId="38" xfId="1" applyFill="1" applyBorder="1"/>
    <xf numFmtId="0" fontId="0" fillId="0" borderId="1" xfId="0" applyBorder="1"/>
    <xf numFmtId="0" fontId="6" fillId="0" borderId="40" xfId="1" applyFill="1" applyBorder="1" applyAlignment="1">
      <alignment horizontal="left" vertical="center"/>
    </xf>
    <xf numFmtId="0" fontId="6" fillId="0" borderId="41" xfId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/>
    <xf numFmtId="0" fontId="2" fillId="0" borderId="1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top" wrapText="1"/>
    </xf>
    <xf numFmtId="0" fontId="36" fillId="0" borderId="38" xfId="1" applyFont="1" applyFill="1" applyBorder="1" applyAlignment="1">
      <alignment horizontal="left" vertical="center"/>
    </xf>
    <xf numFmtId="0" fontId="31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19" fillId="0" borderId="38" xfId="0" applyFont="1" applyBorder="1" applyAlignment="1">
      <alignment horizontal="center"/>
    </xf>
    <xf numFmtId="0" fontId="17" fillId="28" borderId="38" xfId="0" applyFont="1" applyFill="1" applyBorder="1" applyAlignment="1">
      <alignment horizontal="center"/>
    </xf>
    <xf numFmtId="0" fontId="17" fillId="34" borderId="38" xfId="0" applyFont="1" applyFill="1" applyBorder="1" applyAlignment="1">
      <alignment horizontal="center"/>
    </xf>
    <xf numFmtId="0" fontId="17" fillId="33" borderId="38" xfId="0" applyFont="1" applyFill="1" applyBorder="1" applyAlignment="1">
      <alignment horizontal="center"/>
    </xf>
    <xf numFmtId="0" fontId="17" fillId="32" borderId="38" xfId="0" applyFont="1" applyFill="1" applyBorder="1" applyAlignment="1">
      <alignment horizontal="center"/>
    </xf>
    <xf numFmtId="0" fontId="39" fillId="47" borderId="0" xfId="0" applyFont="1" applyFill="1"/>
    <xf numFmtId="0" fontId="17" fillId="48" borderId="1" xfId="0" applyFont="1" applyFill="1" applyBorder="1"/>
    <xf numFmtId="0" fontId="16" fillId="33" borderId="1" xfId="0" applyFont="1" applyFill="1" applyBorder="1"/>
    <xf numFmtId="0" fontId="16" fillId="33" borderId="39" xfId="0" applyFont="1" applyFill="1" applyBorder="1"/>
    <xf numFmtId="0" fontId="40" fillId="49" borderId="24" xfId="0" applyFont="1" applyFill="1" applyBorder="1"/>
    <xf numFmtId="0" fontId="16" fillId="33" borderId="24" xfId="0" applyFont="1" applyFill="1" applyBorder="1"/>
    <xf numFmtId="0" fontId="16" fillId="33" borderId="44" xfId="0" applyFont="1" applyFill="1" applyBorder="1"/>
    <xf numFmtId="18" fontId="16" fillId="33" borderId="44" xfId="0" applyNumberFormat="1" applyFont="1" applyFill="1" applyBorder="1"/>
    <xf numFmtId="0" fontId="17" fillId="50" borderId="24" xfId="0" applyFont="1" applyFill="1" applyBorder="1" applyAlignment="1">
      <alignment wrapText="1"/>
    </xf>
    <xf numFmtId="0" fontId="17" fillId="51" borderId="24" xfId="0" applyFont="1" applyFill="1" applyBorder="1"/>
    <xf numFmtId="0" fontId="17" fillId="52" borderId="24" xfId="0" applyFont="1" applyFill="1" applyBorder="1"/>
    <xf numFmtId="0" fontId="17" fillId="47" borderId="0" xfId="0" applyFont="1" applyFill="1"/>
    <xf numFmtId="0" fontId="17" fillId="53" borderId="24" xfId="0" applyFont="1" applyFill="1" applyBorder="1"/>
    <xf numFmtId="0" fontId="40" fillId="47" borderId="91" xfId="0" applyFont="1" applyFill="1" applyBorder="1"/>
    <xf numFmtId="0" fontId="40" fillId="54" borderId="41" xfId="0" applyFont="1" applyFill="1" applyBorder="1"/>
    <xf numFmtId="0" fontId="17" fillId="48" borderId="39" xfId="0" applyFont="1" applyFill="1" applyBorder="1"/>
    <xf numFmtId="0" fontId="40" fillId="32" borderId="41" xfId="0" applyFont="1" applyFill="1" applyBorder="1"/>
    <xf numFmtId="0" fontId="17" fillId="24" borderId="78" xfId="0" applyFont="1" applyFill="1" applyBorder="1"/>
    <xf numFmtId="0" fontId="40" fillId="55" borderId="41" xfId="0" applyFont="1" applyFill="1" applyBorder="1"/>
    <xf numFmtId="0" fontId="40" fillId="53" borderId="41" xfId="0" applyFont="1" applyFill="1" applyBorder="1"/>
    <xf numFmtId="0" fontId="41" fillId="56" borderId="39" xfId="0" applyFont="1" applyFill="1" applyBorder="1"/>
    <xf numFmtId="0" fontId="41" fillId="56" borderId="0" xfId="0" applyFont="1" applyFill="1"/>
    <xf numFmtId="0" fontId="42" fillId="48" borderId="24" xfId="0" applyFont="1" applyFill="1" applyBorder="1"/>
    <xf numFmtId="0" fontId="41" fillId="56" borderId="44" xfId="0" applyFont="1" applyFill="1" applyBorder="1"/>
    <xf numFmtId="0" fontId="41" fillId="56" borderId="43" xfId="0" applyFont="1" applyFill="1" applyBorder="1"/>
    <xf numFmtId="0" fontId="41" fillId="56" borderId="43" xfId="0" quotePrefix="1" applyFont="1" applyFill="1" applyBorder="1"/>
    <xf numFmtId="0" fontId="41" fillId="56" borderId="4" xfId="0" quotePrefix="1" applyFont="1" applyFill="1" applyBorder="1"/>
    <xf numFmtId="0" fontId="16" fillId="57" borderId="38" xfId="0" applyFont="1" applyFill="1" applyBorder="1"/>
    <xf numFmtId="0" fontId="16" fillId="57" borderId="67" xfId="0" applyFont="1" applyFill="1" applyBorder="1"/>
    <xf numFmtId="0" fontId="16" fillId="47" borderId="67" xfId="0" applyFont="1" applyFill="1" applyBorder="1" applyAlignment="1">
      <alignment textRotation="45"/>
    </xf>
    <xf numFmtId="0" fontId="17" fillId="0" borderId="67" xfId="0" applyFont="1" applyBorder="1"/>
    <xf numFmtId="0" fontId="16" fillId="47" borderId="67" xfId="0" applyFont="1" applyFill="1" applyBorder="1" applyAlignment="1">
      <alignment textRotation="45" wrapText="1"/>
    </xf>
    <xf numFmtId="14" fontId="17" fillId="57" borderId="41" xfId="0" applyNumberFormat="1" applyFont="1" applyFill="1" applyBorder="1"/>
    <xf numFmtId="0" fontId="17" fillId="57" borderId="78" xfId="0" applyFont="1" applyFill="1" applyBorder="1"/>
    <xf numFmtId="0" fontId="40" fillId="32" borderId="78" xfId="0" applyFont="1" applyFill="1" applyBorder="1"/>
    <xf numFmtId="0" fontId="17" fillId="53" borderId="44" xfId="0" applyFont="1" applyFill="1" applyBorder="1"/>
    <xf numFmtId="0" fontId="43" fillId="50" borderId="78" xfId="0" applyFont="1" applyFill="1" applyBorder="1"/>
    <xf numFmtId="0" fontId="17" fillId="51" borderId="44" xfId="0" applyFont="1" applyFill="1" applyBorder="1"/>
    <xf numFmtId="0" fontId="17" fillId="52" borderId="78" xfId="0" applyFont="1" applyFill="1" applyBorder="1"/>
    <xf numFmtId="0" fontId="40" fillId="54" borderId="78" xfId="0" applyFont="1" applyFill="1" applyBorder="1"/>
    <xf numFmtId="0" fontId="16" fillId="0" borderId="44" xfId="0" applyFont="1" applyBorder="1"/>
    <xf numFmtId="0" fontId="44" fillId="48" borderId="78" xfId="0" applyFont="1" applyFill="1" applyBorder="1"/>
    <xf numFmtId="0" fontId="45" fillId="58" borderId="44" xfId="0" applyFont="1" applyFill="1" applyBorder="1"/>
    <xf numFmtId="14" fontId="17" fillId="57" borderId="24" xfId="0" applyNumberFormat="1" applyFont="1" applyFill="1" applyBorder="1"/>
    <xf numFmtId="0" fontId="49" fillId="41" borderId="38" xfId="0" applyFont="1" applyFill="1" applyBorder="1"/>
    <xf numFmtId="0" fontId="47" fillId="42" borderId="38" xfId="0" applyFont="1" applyFill="1" applyBorder="1"/>
    <xf numFmtId="0" fontId="46" fillId="44" borderId="38" xfId="0" applyFont="1" applyFill="1" applyBorder="1"/>
    <xf numFmtId="0" fontId="48" fillId="45" borderId="38" xfId="0" applyFont="1" applyFill="1" applyBorder="1"/>
    <xf numFmtId="0" fontId="50" fillId="43" borderId="38" xfId="0" applyFont="1" applyFill="1" applyBorder="1"/>
    <xf numFmtId="0" fontId="17" fillId="0" borderId="63" xfId="0" applyFont="1" applyBorder="1"/>
    <xf numFmtId="14" fontId="19" fillId="24" borderId="43" xfId="0" applyNumberFormat="1" applyFont="1" applyFill="1" applyBorder="1"/>
    <xf numFmtId="0" fontId="17" fillId="28" borderId="42" xfId="0" applyFont="1" applyFill="1" applyBorder="1" applyAlignment="1">
      <alignment horizontal="center"/>
    </xf>
    <xf numFmtId="0" fontId="17" fillId="34" borderId="42" xfId="0" applyFont="1" applyFill="1" applyBorder="1" applyAlignment="1">
      <alignment horizontal="center"/>
    </xf>
    <xf numFmtId="0" fontId="17" fillId="33" borderId="42" xfId="0" applyFont="1" applyFill="1" applyBorder="1" applyAlignment="1">
      <alignment horizontal="center"/>
    </xf>
    <xf numFmtId="0" fontId="17" fillId="32" borderId="42" xfId="0" applyFont="1" applyFill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" fillId="0" borderId="0" xfId="0" applyFont="1"/>
    <xf numFmtId="0" fontId="1" fillId="11" borderId="0" xfId="0" applyFont="1" applyFill="1"/>
    <xf numFmtId="0" fontId="51" fillId="0" borderId="94" xfId="0" applyFont="1" applyBorder="1"/>
    <xf numFmtId="0" fontId="49" fillId="0" borderId="94" xfId="0" applyFont="1" applyBorder="1"/>
    <xf numFmtId="0" fontId="47" fillId="0" borderId="95" xfId="0" applyFont="1" applyBorder="1"/>
    <xf numFmtId="0" fontId="49" fillId="0" borderId="95" xfId="0" applyFont="1" applyBorder="1"/>
    <xf numFmtId="0" fontId="50" fillId="0" borderId="94" xfId="0" applyFont="1" applyBorder="1"/>
    <xf numFmtId="0" fontId="50" fillId="0" borderId="95" xfId="0" applyFont="1" applyBorder="1"/>
    <xf numFmtId="0" fontId="51" fillId="0" borderId="92" xfId="0" applyFont="1" applyBorder="1"/>
    <xf numFmtId="0" fontId="46" fillId="0" borderId="92" xfId="0" applyFont="1" applyBorder="1"/>
    <xf numFmtId="0" fontId="46" fillId="0" borderId="93" xfId="0" applyFont="1" applyBorder="1"/>
    <xf numFmtId="0" fontId="47" fillId="0" borderId="93" xfId="0" applyFont="1" applyBorder="1"/>
    <xf numFmtId="0" fontId="48" fillId="0" borderId="93" xfId="0" applyFont="1" applyBorder="1"/>
    <xf numFmtId="0" fontId="46" fillId="0" borderId="94" xfId="0" applyFont="1" applyBorder="1"/>
    <xf numFmtId="0" fontId="46" fillId="0" borderId="95" xfId="0" applyFont="1" applyBorder="1"/>
    <xf numFmtId="14" fontId="19" fillId="0" borderId="43" xfId="0" applyNumberFormat="1" applyFont="1" applyBorder="1"/>
    <xf numFmtId="0" fontId="49" fillId="0" borderId="38" xfId="0" applyFont="1" applyBorder="1"/>
    <xf numFmtId="0" fontId="47" fillId="0" borderId="38" xfId="0" applyFont="1" applyBorder="1"/>
    <xf numFmtId="0" fontId="46" fillId="0" borderId="38" xfId="0" applyFont="1" applyBorder="1"/>
    <xf numFmtId="0" fontId="49" fillId="41" borderId="38" xfId="0" applyFont="1" applyFill="1" applyBorder="1" applyAlignment="1">
      <alignment horizontal="center" vertical="center"/>
    </xf>
    <xf numFmtId="0" fontId="47" fillId="42" borderId="38" xfId="0" applyFont="1" applyFill="1" applyBorder="1" applyAlignment="1">
      <alignment horizontal="center" vertical="center"/>
    </xf>
    <xf numFmtId="0" fontId="52" fillId="59" borderId="38" xfId="0" applyFont="1" applyFill="1" applyBorder="1" applyAlignment="1">
      <alignment horizontal="center" vertical="center"/>
    </xf>
    <xf numFmtId="0" fontId="50" fillId="43" borderId="38" xfId="0" applyFont="1" applyFill="1" applyBorder="1" applyAlignment="1">
      <alignment horizontal="center" vertical="center"/>
    </xf>
    <xf numFmtId="0" fontId="46" fillId="44" borderId="38" xfId="0" applyFont="1" applyFill="1" applyBorder="1" applyAlignment="1">
      <alignment horizontal="center" vertical="center"/>
    </xf>
    <xf numFmtId="0" fontId="48" fillId="45" borderId="38" xfId="0" applyFont="1" applyFill="1" applyBorder="1" applyAlignment="1">
      <alignment horizontal="center" vertical="center"/>
    </xf>
    <xf numFmtId="0" fontId="37" fillId="39" borderId="38" xfId="0" applyFont="1" applyFill="1" applyBorder="1" applyAlignment="1">
      <alignment horizontal="center" wrapText="1"/>
    </xf>
    <xf numFmtId="0" fontId="38" fillId="40" borderId="38" xfId="0" applyFont="1" applyFill="1" applyBorder="1" applyAlignment="1">
      <alignment horizontal="center" wrapText="1"/>
    </xf>
    <xf numFmtId="0" fontId="1" fillId="16" borderId="4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9" xfId="0" applyFont="1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1" fillId="16" borderId="38" xfId="0" applyFont="1" applyFill="1" applyBorder="1" applyAlignment="1">
      <alignment horizontal="center" vertical="center"/>
    </xf>
    <xf numFmtId="0" fontId="5" fillId="14" borderId="53" xfId="0" applyFont="1" applyFill="1" applyBorder="1" applyAlignment="1">
      <alignment horizontal="center"/>
    </xf>
    <xf numFmtId="0" fontId="5" fillId="14" borderId="38" xfId="0" applyFont="1" applyFill="1" applyBorder="1" applyAlignment="1">
      <alignment horizontal="center"/>
    </xf>
    <xf numFmtId="0" fontId="5" fillId="14" borderId="42" xfId="0" applyFont="1" applyFill="1" applyBorder="1" applyAlignment="1">
      <alignment horizontal="center"/>
    </xf>
    <xf numFmtId="0" fontId="5" fillId="4" borderId="53" xfId="0" applyFont="1" applyFill="1" applyBorder="1" applyAlignment="1">
      <alignment horizontal="center"/>
    </xf>
    <xf numFmtId="0" fontId="5" fillId="4" borderId="38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7" fillId="13" borderId="50" xfId="0" applyFont="1" applyFill="1" applyBorder="1" applyAlignment="1">
      <alignment horizontal="center"/>
    </xf>
    <xf numFmtId="0" fontId="7" fillId="13" borderId="51" xfId="0" applyFont="1" applyFill="1" applyBorder="1" applyAlignment="1">
      <alignment horizontal="center"/>
    </xf>
    <xf numFmtId="0" fontId="7" fillId="13" borderId="52" xfId="0" applyFont="1" applyFill="1" applyBorder="1" applyAlignment="1">
      <alignment horizontal="center"/>
    </xf>
    <xf numFmtId="0" fontId="5" fillId="14" borderId="54" xfId="0" applyFont="1" applyFill="1" applyBorder="1" applyAlignment="1">
      <alignment horizontal="center"/>
    </xf>
    <xf numFmtId="0" fontId="5" fillId="4" borderId="54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7" fillId="13" borderId="53" xfId="0" applyFont="1" applyFill="1" applyBorder="1" applyAlignment="1">
      <alignment horizontal="center"/>
    </xf>
    <xf numFmtId="0" fontId="7" fillId="13" borderId="38" xfId="0" applyFont="1" applyFill="1" applyBorder="1" applyAlignment="1">
      <alignment horizontal="center"/>
    </xf>
    <xf numFmtId="0" fontId="7" fillId="13" borderId="4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15" fillId="19" borderId="7" xfId="1" quotePrefix="1" applyFont="1" applyFill="1" applyBorder="1" applyAlignment="1">
      <alignment horizontal="center" vertical="center"/>
    </xf>
    <xf numFmtId="0" fontId="15" fillId="19" borderId="5" xfId="1" applyFont="1" applyFill="1" applyBorder="1" applyAlignment="1">
      <alignment horizontal="center" vertical="center"/>
    </xf>
    <xf numFmtId="0" fontId="15" fillId="19" borderId="4" xfId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64" xfId="0" applyFont="1" applyFill="1" applyBorder="1" applyAlignment="1">
      <alignment horizontal="center" vertical="center"/>
    </xf>
    <xf numFmtId="0" fontId="39" fillId="46" borderId="0" xfId="0" applyFont="1" applyFill="1" applyAlignment="1">
      <alignment wrapText="1"/>
    </xf>
    <xf numFmtId="0" fontId="7" fillId="13" borderId="26" xfId="0" applyFont="1" applyFill="1" applyBorder="1" applyAlignment="1">
      <alignment horizontal="center"/>
    </xf>
    <xf numFmtId="0" fontId="7" fillId="13" borderId="27" xfId="0" applyFont="1" applyFill="1" applyBorder="1" applyAlignment="1">
      <alignment horizontal="center"/>
    </xf>
    <xf numFmtId="0" fontId="7" fillId="13" borderId="33" xfId="0" applyFont="1" applyFill="1" applyBorder="1" applyAlignment="1">
      <alignment horizontal="center"/>
    </xf>
    <xf numFmtId="0" fontId="7" fillId="13" borderId="9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/>
    </xf>
    <xf numFmtId="0" fontId="7" fillId="13" borderId="32" xfId="0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5" fillId="14" borderId="26" xfId="0" applyFont="1" applyFill="1" applyBorder="1" applyAlignment="1">
      <alignment horizontal="center"/>
    </xf>
    <xf numFmtId="0" fontId="5" fillId="14" borderId="27" xfId="0" applyFont="1" applyFill="1" applyBorder="1" applyAlignment="1">
      <alignment horizontal="center"/>
    </xf>
    <xf numFmtId="0" fontId="5" fillId="14" borderId="33" xfId="0" applyFont="1" applyFill="1" applyBorder="1" applyAlignment="1">
      <alignment horizontal="center"/>
    </xf>
    <xf numFmtId="0" fontId="5" fillId="14" borderId="9" xfId="0" applyFont="1" applyFill="1" applyBorder="1" applyAlignment="1">
      <alignment horizontal="center"/>
    </xf>
    <xf numFmtId="0" fontId="5" fillId="14" borderId="10" xfId="0" applyFont="1" applyFill="1" applyBorder="1" applyAlignment="1">
      <alignment horizontal="center"/>
    </xf>
    <xf numFmtId="0" fontId="5" fillId="14" borderId="32" xfId="0" applyFont="1" applyFill="1" applyBorder="1" applyAlignment="1">
      <alignment horizontal="center"/>
    </xf>
    <xf numFmtId="0" fontId="5" fillId="14" borderId="11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32" fillId="14" borderId="53" xfId="0" applyFont="1" applyFill="1" applyBorder="1" applyAlignment="1">
      <alignment horizontal="center"/>
    </xf>
    <xf numFmtId="0" fontId="32" fillId="14" borderId="38" xfId="0" applyFont="1" applyFill="1" applyBorder="1" applyAlignment="1">
      <alignment horizontal="center"/>
    </xf>
    <xf numFmtId="0" fontId="32" fillId="14" borderId="42" xfId="0" applyFont="1" applyFill="1" applyBorder="1" applyAlignment="1">
      <alignment horizontal="center"/>
    </xf>
    <xf numFmtId="0" fontId="32" fillId="14" borderId="54" xfId="0" applyFont="1" applyFill="1" applyBorder="1" applyAlignment="1">
      <alignment horizontal="center"/>
    </xf>
    <xf numFmtId="0" fontId="32" fillId="4" borderId="53" xfId="0" applyFont="1" applyFill="1" applyBorder="1" applyAlignment="1">
      <alignment horizontal="center"/>
    </xf>
    <xf numFmtId="0" fontId="32" fillId="4" borderId="38" xfId="0" applyFont="1" applyFill="1" applyBorder="1" applyAlignment="1">
      <alignment horizontal="center"/>
    </xf>
    <xf numFmtId="0" fontId="32" fillId="4" borderId="42" xfId="0" applyFont="1" applyFill="1" applyBorder="1" applyAlignment="1">
      <alignment horizontal="center"/>
    </xf>
    <xf numFmtId="0" fontId="32" fillId="4" borderId="54" xfId="0" applyFont="1" applyFill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33" fillId="13" borderId="53" xfId="0" applyFont="1" applyFill="1" applyBorder="1" applyAlignment="1">
      <alignment horizontal="center"/>
    </xf>
    <xf numFmtId="0" fontId="33" fillId="13" borderId="38" xfId="0" applyFont="1" applyFill="1" applyBorder="1" applyAlignment="1">
      <alignment horizontal="center"/>
    </xf>
    <xf numFmtId="0" fontId="33" fillId="13" borderId="42" xfId="0" applyFont="1" applyFill="1" applyBorder="1" applyAlignment="1">
      <alignment horizontal="center"/>
    </xf>
    <xf numFmtId="0" fontId="33" fillId="13" borderId="50" xfId="0" applyFont="1" applyFill="1" applyBorder="1" applyAlignment="1">
      <alignment horizontal="center"/>
    </xf>
    <xf numFmtId="0" fontId="33" fillId="13" borderId="51" xfId="0" applyFont="1" applyFill="1" applyBorder="1" applyAlignment="1">
      <alignment horizontal="center"/>
    </xf>
    <xf numFmtId="0" fontId="33" fillId="13" borderId="52" xfId="0" applyFont="1" applyFill="1" applyBorder="1" applyAlignment="1">
      <alignment horizontal="center"/>
    </xf>
    <xf numFmtId="0" fontId="4" fillId="0" borderId="71" xfId="0" applyFont="1" applyBorder="1" applyAlignment="1"/>
    <xf numFmtId="0" fontId="4" fillId="0" borderId="69" xfId="0" applyFont="1" applyBorder="1" applyAlignment="1"/>
    <xf numFmtId="0" fontId="4" fillId="0" borderId="77" xfId="0" applyFont="1" applyBorder="1" applyAlignment="1"/>
    <xf numFmtId="0" fontId="19" fillId="0" borderId="45" xfId="0" applyFont="1" applyBorder="1" applyAlignment="1"/>
    <xf numFmtId="0" fontId="19" fillId="0" borderId="46" xfId="0" applyFont="1" applyBorder="1" applyAlignment="1"/>
    <xf numFmtId="0" fontId="19" fillId="0" borderId="47" xfId="0" applyFont="1" applyBorder="1" applyAlignment="1"/>
    <xf numFmtId="0" fontId="21" fillId="36" borderId="81" xfId="0" applyFont="1" applyFill="1" applyBorder="1" applyAlignment="1"/>
    <xf numFmtId="0" fontId="21" fillId="36" borderId="65" xfId="0" applyFont="1" applyFill="1" applyBorder="1" applyAlignment="1"/>
    <xf numFmtId="0" fontId="21" fillId="36" borderId="67" xfId="0" applyFont="1" applyFill="1" applyBorder="1" applyAlignment="1"/>
    <xf numFmtId="0" fontId="21" fillId="36" borderId="71" xfId="0" applyFont="1" applyFill="1" applyBorder="1" applyAlignment="1"/>
    <xf numFmtId="0" fontId="21" fillId="36" borderId="69" xfId="0" applyFont="1" applyFill="1" applyBorder="1" applyAlignment="1"/>
    <xf numFmtId="0" fontId="21" fillId="36" borderId="82" xfId="0" applyFont="1" applyFill="1" applyBorder="1" applyAlignment="1"/>
    <xf numFmtId="0" fontId="5" fillId="37" borderId="81" xfId="0" applyFont="1" applyFill="1" applyBorder="1" applyAlignment="1"/>
    <xf numFmtId="0" fontId="5" fillId="37" borderId="65" xfId="0" applyFont="1" applyFill="1" applyBorder="1" applyAlignment="1"/>
    <xf numFmtId="0" fontId="5" fillId="37" borderId="67" xfId="0" applyFont="1" applyFill="1" applyBorder="1" applyAlignment="1"/>
    <xf numFmtId="0" fontId="5" fillId="37" borderId="83" xfId="0" applyFont="1" applyFill="1" applyBorder="1" applyAlignment="1"/>
    <xf numFmtId="0" fontId="5" fillId="4" borderId="81" xfId="0" applyFont="1" applyFill="1" applyBorder="1" applyAlignment="1"/>
    <xf numFmtId="0" fontId="5" fillId="4" borderId="65" xfId="0" applyFont="1" applyFill="1" applyBorder="1" applyAlignment="1"/>
    <xf numFmtId="0" fontId="5" fillId="4" borderId="67" xfId="0" applyFont="1" applyFill="1" applyBorder="1" applyAlignment="1"/>
    <xf numFmtId="0" fontId="5" fillId="4" borderId="83" xfId="0" applyFont="1" applyFill="1" applyBorder="1" applyAlignment="1"/>
    <xf numFmtId="0" fontId="41" fillId="56" borderId="2" xfId="0" applyFont="1" applyFill="1" applyBorder="1" applyAlignment="1"/>
    <xf numFmtId="0" fontId="41" fillId="56" borderId="39" xfId="0" applyFont="1" applyFill="1" applyBorder="1" applyAlignment="1"/>
    <xf numFmtId="0" fontId="41" fillId="56" borderId="7" xfId="0" applyFont="1" applyFill="1" applyBorder="1" applyAlignment="1"/>
    <xf numFmtId="0" fontId="41" fillId="56" borderId="4" xfId="0" applyFont="1" applyFill="1" applyBorder="1" applyAlignment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exander.wagner@freseniusmedicalcare.com" TargetMode="External"/><Relationship Id="rId18" Type="http://schemas.openxmlformats.org/officeDocument/2006/relationships/hyperlink" Target="mailto:andreas.klaus@freseniusmedicalcare.com" TargetMode="External"/><Relationship Id="rId26" Type="http://schemas.openxmlformats.org/officeDocument/2006/relationships/hyperlink" Target="mailto:Cindy.Gartley@freseniusmedicalcare.com" TargetMode="External"/><Relationship Id="rId3" Type="http://schemas.openxmlformats.org/officeDocument/2006/relationships/hyperlink" Target="mailto:renate.floeser@freseniusmedicalcare.com" TargetMode="External"/><Relationship Id="rId21" Type="http://schemas.openxmlformats.org/officeDocument/2006/relationships/hyperlink" Target="mailto:Helena.Schmitz@freseniusmedicalcare.com" TargetMode="External"/><Relationship Id="rId34" Type="http://schemas.openxmlformats.org/officeDocument/2006/relationships/hyperlink" Target="mailto:guruprasad.subbarayalu@freseniusmedicalcare.com" TargetMode="External"/><Relationship Id="rId7" Type="http://schemas.openxmlformats.org/officeDocument/2006/relationships/hyperlink" Target="mailto:ravi.vuta@freseniusmedicalcare.com" TargetMode="External"/><Relationship Id="rId12" Type="http://schemas.openxmlformats.org/officeDocument/2006/relationships/hyperlink" Target="mailto:ildiko-kinga.peter@freseniusmedicalcare.com" TargetMode="External"/><Relationship Id="rId17" Type="http://schemas.openxmlformats.org/officeDocument/2006/relationships/hyperlink" Target="mailto:nitin.sane@freseniusmedicalcare.com" TargetMode="External"/><Relationship Id="rId25" Type="http://schemas.openxmlformats.org/officeDocument/2006/relationships/hyperlink" Target="mailto:Cindy.Gartley@freseniusmedicalcare.com" TargetMode="External"/><Relationship Id="rId33" Type="http://schemas.openxmlformats.org/officeDocument/2006/relationships/hyperlink" Target="mailto:ildiko-kinga.peter@freseniusmedicalcare.com" TargetMode="External"/><Relationship Id="rId2" Type="http://schemas.openxmlformats.org/officeDocument/2006/relationships/hyperlink" Target="mailto:surender-reddy.muddam@freseniusmedicalcare.com" TargetMode="External"/><Relationship Id="rId16" Type="http://schemas.openxmlformats.org/officeDocument/2006/relationships/hyperlink" Target="mailto:mahammed.zubair@freseniusmedicalcare.com" TargetMode="External"/><Relationship Id="rId20" Type="http://schemas.openxmlformats.org/officeDocument/2006/relationships/hyperlink" Target="mailto:Kondal.Reddy.Kasireddy@freseniusmedicalcare.com" TargetMode="External"/><Relationship Id="rId29" Type="http://schemas.openxmlformats.org/officeDocument/2006/relationships/hyperlink" Target="mailto:Duncan.Stewart@freseniusmedicalcare.com" TargetMode="External"/><Relationship Id="rId1" Type="http://schemas.openxmlformats.org/officeDocument/2006/relationships/hyperlink" Target="mailto:amy.green@freseniusmedicalcare.com" TargetMode="External"/><Relationship Id="rId6" Type="http://schemas.openxmlformats.org/officeDocument/2006/relationships/hyperlink" Target="mailto:eric.lucas@freseniusmedicalcare.com" TargetMode="External"/><Relationship Id="rId11" Type="http://schemas.openxmlformats.org/officeDocument/2006/relationships/hyperlink" Target="mailto:joerg.ludwig@freseniusmedicalcare.com" TargetMode="External"/><Relationship Id="rId24" Type="http://schemas.openxmlformats.org/officeDocument/2006/relationships/hyperlink" Target="mailto:zachary.schuneman@freseniusmedicalcare.com" TargetMode="External"/><Relationship Id="rId32" Type="http://schemas.openxmlformats.org/officeDocument/2006/relationships/hyperlink" Target="mailto:thorsten.boecker@freseniusmedicalcare.com" TargetMode="External"/><Relationship Id="rId5" Type="http://schemas.openxmlformats.org/officeDocument/2006/relationships/hyperlink" Target="mailto:ravi.vuta@freseniusmedicalcare.com" TargetMode="External"/><Relationship Id="rId15" Type="http://schemas.openxmlformats.org/officeDocument/2006/relationships/hyperlink" Target="mailto:mahammed.zubair@freseniusmedicalcare.com" TargetMode="External"/><Relationship Id="rId23" Type="http://schemas.openxmlformats.org/officeDocument/2006/relationships/hyperlink" Target="mailto:ceres.tenenbaum@freseniusmedicalcare.com" TargetMode="External"/><Relationship Id="rId28" Type="http://schemas.openxmlformats.org/officeDocument/2006/relationships/hyperlink" Target="mailto:Charles.McField@freseniusmedicalcare.com" TargetMode="External"/><Relationship Id="rId10" Type="http://schemas.openxmlformats.org/officeDocument/2006/relationships/hyperlink" Target="mailto:guruprasad.subbarayalu@freseniusmedicalcare.com" TargetMode="External"/><Relationship Id="rId19" Type="http://schemas.openxmlformats.org/officeDocument/2006/relationships/hyperlink" Target="mailto:andreas.klaus@freseniusmedicalcare.com" TargetMode="External"/><Relationship Id="rId31" Type="http://schemas.openxmlformats.org/officeDocument/2006/relationships/hyperlink" Target="mailto:Maximilian.Naas@freseniusmedicalcare.com" TargetMode="External"/><Relationship Id="rId4" Type="http://schemas.openxmlformats.org/officeDocument/2006/relationships/hyperlink" Target="mailto:ravi.vuta@freseniusmedicalcare.com" TargetMode="External"/><Relationship Id="rId9" Type="http://schemas.openxmlformats.org/officeDocument/2006/relationships/hyperlink" Target="mailto:Panthalarajan.Nagarethinam@freseniusmedicalcare.com" TargetMode="External"/><Relationship Id="rId14" Type="http://schemas.openxmlformats.org/officeDocument/2006/relationships/hyperlink" Target="mailto:ildiko-kinga.peter@freseniusmedicalcare.com" TargetMode="External"/><Relationship Id="rId22" Type="http://schemas.openxmlformats.org/officeDocument/2006/relationships/hyperlink" Target="mailto:jeffrey.r.norton@freseniusmedicalcare.com" TargetMode="External"/><Relationship Id="rId27" Type="http://schemas.openxmlformats.org/officeDocument/2006/relationships/hyperlink" Target="mailto:Charles.McField@freseniusmedicalcare.com" TargetMode="External"/><Relationship Id="rId30" Type="http://schemas.openxmlformats.org/officeDocument/2006/relationships/hyperlink" Target="mailto:harald.villinger@freseniusmedicalcare.com" TargetMode="External"/><Relationship Id="rId8" Type="http://schemas.openxmlformats.org/officeDocument/2006/relationships/hyperlink" Target="mailto:andreas.klaus@freseniusmedicalcare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enkatasubrahmanyam.kotra@freseniusmedicalcare.com" TargetMode="External"/><Relationship Id="rId13" Type="http://schemas.openxmlformats.org/officeDocument/2006/relationships/hyperlink" Target="mailto:spoorthy.hr1@freseniusmedicalcare.com" TargetMode="External"/><Relationship Id="rId3" Type="http://schemas.openxmlformats.org/officeDocument/2006/relationships/hyperlink" Target="mailto:shashank.purohit1@freseniusmedicalcare.com" TargetMode="External"/><Relationship Id="rId7" Type="http://schemas.openxmlformats.org/officeDocument/2006/relationships/hyperlink" Target="mailto:venkatasubrahmanyam.kotra@freseniusmedicalcare.com" TargetMode="External"/><Relationship Id="rId12" Type="http://schemas.openxmlformats.org/officeDocument/2006/relationships/hyperlink" Target="mailto:gowthami.konduri@freseniusmedicalcare.com" TargetMode="External"/><Relationship Id="rId17" Type="http://schemas.openxmlformats.org/officeDocument/2006/relationships/hyperlink" Target="mailto:gouravkumar.patnaik@freseniusmedicalcare.com" TargetMode="External"/><Relationship Id="rId2" Type="http://schemas.openxmlformats.org/officeDocument/2006/relationships/hyperlink" Target="mailto:gowthami.konduri@freseniusmedicalcare.com" TargetMode="External"/><Relationship Id="rId16" Type="http://schemas.openxmlformats.org/officeDocument/2006/relationships/hyperlink" Target="mailto:sakshirajshekhar.bhuse@freseniusmedicalcare.com" TargetMode="External"/><Relationship Id="rId1" Type="http://schemas.openxmlformats.org/officeDocument/2006/relationships/hyperlink" Target="mailto:kolekar.vaibhavsunil@freseniusmedicalcare.com" TargetMode="External"/><Relationship Id="rId6" Type="http://schemas.openxmlformats.org/officeDocument/2006/relationships/hyperlink" Target="mailto:pushpa.gajananpatil@freseniusmedicalcare.com" TargetMode="External"/><Relationship Id="rId11" Type="http://schemas.openxmlformats.org/officeDocument/2006/relationships/hyperlink" Target="mailto:divya.unnikrishnan@freseniusmedicalcare.com" TargetMode="External"/><Relationship Id="rId5" Type="http://schemas.openxmlformats.org/officeDocument/2006/relationships/hyperlink" Target="mailto:sagar.kaware@freseniusmedicalcare.com" TargetMode="External"/><Relationship Id="rId15" Type="http://schemas.openxmlformats.org/officeDocument/2006/relationships/hyperlink" Target="mailto:sakshirajshekhar.bhuse@freseniusmedicalcare.com" TargetMode="External"/><Relationship Id="rId10" Type="http://schemas.openxmlformats.org/officeDocument/2006/relationships/hyperlink" Target="mailto:goutam.bhadravti-mohan@freseniusmedicalcare.com" TargetMode="External"/><Relationship Id="rId4" Type="http://schemas.openxmlformats.org/officeDocument/2006/relationships/hyperlink" Target="mailto:gowthami.konduri@freseniusmedicalcare.com" TargetMode="External"/><Relationship Id="rId9" Type="http://schemas.openxmlformats.org/officeDocument/2006/relationships/hyperlink" Target="mailto:divya.unnikrishnan@freseniusmedicalcare.com" TargetMode="External"/><Relationship Id="rId14" Type="http://schemas.openxmlformats.org/officeDocument/2006/relationships/hyperlink" Target="mailto:vinothkumar.udhayakumar@freseniusmedicalcare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.unnikrishnan@freseniusmedicalcare.com" TargetMode="External"/><Relationship Id="rId3" Type="http://schemas.openxmlformats.org/officeDocument/2006/relationships/hyperlink" Target="mailto:divya.unnikrishnan@freseniusmedicalcare.com" TargetMode="External"/><Relationship Id="rId7" Type="http://schemas.openxmlformats.org/officeDocument/2006/relationships/hyperlink" Target="mailto:gowthami.konduri@freseniusmedicalcare.com" TargetMode="External"/><Relationship Id="rId2" Type="http://schemas.openxmlformats.org/officeDocument/2006/relationships/hyperlink" Target="mailto:gowthami.konduri@freseniusmedicalcare.com" TargetMode="External"/><Relationship Id="rId1" Type="http://schemas.openxmlformats.org/officeDocument/2006/relationships/hyperlink" Target="mailto:sagar.kaware@freseniusmedicalcare.com" TargetMode="External"/><Relationship Id="rId6" Type="http://schemas.openxmlformats.org/officeDocument/2006/relationships/hyperlink" Target="mailto:divya.unnikrishnan@freseniusmedicalcare.com" TargetMode="External"/><Relationship Id="rId5" Type="http://schemas.openxmlformats.org/officeDocument/2006/relationships/hyperlink" Target="mailto:gowthami.konduri@freseniusmedicalcare.com" TargetMode="External"/><Relationship Id="rId10" Type="http://schemas.openxmlformats.org/officeDocument/2006/relationships/hyperlink" Target="mailto:gowthami.konduri@freseniusmedicalcare.com" TargetMode="External"/><Relationship Id="rId4" Type="http://schemas.openxmlformats.org/officeDocument/2006/relationships/hyperlink" Target="mailto:manoj.yamala@freseniusmedicalcare.com" TargetMode="External"/><Relationship Id="rId9" Type="http://schemas.openxmlformats.org/officeDocument/2006/relationships/hyperlink" Target="mailto:kolekar.vaibhavsunil@freseniusmedicalcare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ushpa.gajananpatil@freseniusmedicalcare.com" TargetMode="External"/><Relationship Id="rId3" Type="http://schemas.openxmlformats.org/officeDocument/2006/relationships/hyperlink" Target="mailto:divya.unnikrishnan@freseniusmedicalcare.com" TargetMode="External"/><Relationship Id="rId7" Type="http://schemas.openxmlformats.org/officeDocument/2006/relationships/hyperlink" Target="mailto:spoorthy.hr1@freseniusmedicalcare.com" TargetMode="External"/><Relationship Id="rId2" Type="http://schemas.openxmlformats.org/officeDocument/2006/relationships/hyperlink" Target="mailto:gowthami.konduri@freseniusmedicalcare.com" TargetMode="External"/><Relationship Id="rId1" Type="http://schemas.openxmlformats.org/officeDocument/2006/relationships/hyperlink" Target="mailto:sagar.kaware@freseniusmedicalcare.com" TargetMode="External"/><Relationship Id="rId6" Type="http://schemas.openxmlformats.org/officeDocument/2006/relationships/hyperlink" Target="mailto:shashank.purohit1@freseniusmedicalcare.com" TargetMode="External"/><Relationship Id="rId5" Type="http://schemas.openxmlformats.org/officeDocument/2006/relationships/hyperlink" Target="mailto:gowthami.konduri@freseniusmedicalcare.com" TargetMode="External"/><Relationship Id="rId4" Type="http://schemas.openxmlformats.org/officeDocument/2006/relationships/hyperlink" Target="mailto:manoj.yamala@freseniusmedicalcare.com" TargetMode="External"/><Relationship Id="rId9" Type="http://schemas.openxmlformats.org/officeDocument/2006/relationships/hyperlink" Target="mailto:gowthami.konduri@freseniusmedicalcare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varsha.hariharan@freseniusmedicalcare.com" TargetMode="External"/><Relationship Id="rId13" Type="http://schemas.openxmlformats.org/officeDocument/2006/relationships/hyperlink" Target="mailto:abdulkalam.akula@freseniusmedicalcare.com" TargetMode="External"/><Relationship Id="rId18" Type="http://schemas.openxmlformats.org/officeDocument/2006/relationships/hyperlink" Target="mailto:vinay.kumar@freseniusmedicalcare.com" TargetMode="External"/><Relationship Id="rId26" Type="http://schemas.openxmlformats.org/officeDocument/2006/relationships/hyperlink" Target="mailto:vaishali.patel@freseniusmedicalcare.com%0a" TargetMode="External"/><Relationship Id="rId3" Type="http://schemas.openxmlformats.org/officeDocument/2006/relationships/hyperlink" Target="mailto:srivarsha.gadipelli@freseniusmedicalcare.com" TargetMode="External"/><Relationship Id="rId21" Type="http://schemas.openxmlformats.org/officeDocument/2006/relationships/hyperlink" Target="mailto:vinay.kumar@freseniusmedicalcare.com" TargetMode="External"/><Relationship Id="rId7" Type="http://schemas.openxmlformats.org/officeDocument/2006/relationships/hyperlink" Target="mailto:sagar.solanki@freseniusmedicalcare.com" TargetMode="External"/><Relationship Id="rId12" Type="http://schemas.openxmlformats.org/officeDocument/2006/relationships/hyperlink" Target="mailto:vinay.kumar@freseniusmedicalcare.com" TargetMode="External"/><Relationship Id="rId17" Type="http://schemas.openxmlformats.org/officeDocument/2006/relationships/hyperlink" Target="mailto:rohit.prasad@freseniusmedicalcare.com" TargetMode="External"/><Relationship Id="rId25" Type="http://schemas.openxmlformats.org/officeDocument/2006/relationships/hyperlink" Target="mailto:vaishali.patel@freseniusmedicalcare.com%0a" TargetMode="External"/><Relationship Id="rId2" Type="http://schemas.openxmlformats.org/officeDocument/2006/relationships/hyperlink" Target="mailto:arunprasath.s@freseniusmedicalcare.com" TargetMode="External"/><Relationship Id="rId16" Type="http://schemas.openxmlformats.org/officeDocument/2006/relationships/hyperlink" Target="mailto:rohit.prasad@freseniusmedicalcare.com" TargetMode="External"/><Relationship Id="rId20" Type="http://schemas.openxmlformats.org/officeDocument/2006/relationships/hyperlink" Target="mailto:vinay.kumar@freseniusmedicalcare.com" TargetMode="External"/><Relationship Id="rId1" Type="http://schemas.openxmlformats.org/officeDocument/2006/relationships/hyperlink" Target="mailto:varsha.hariharan@freseniusmedicalcare.com" TargetMode="External"/><Relationship Id="rId6" Type="http://schemas.openxmlformats.org/officeDocument/2006/relationships/hyperlink" Target="mailto:arunpandi.thangappan@freseniusmedicalcare.com" TargetMode="External"/><Relationship Id="rId11" Type="http://schemas.openxmlformats.org/officeDocument/2006/relationships/hyperlink" Target="mailto:vinay.kumar@freseniusmedicalcare.com" TargetMode="External"/><Relationship Id="rId24" Type="http://schemas.openxmlformats.org/officeDocument/2006/relationships/hyperlink" Target="mailto:pravanjan.swain@freseniusmedicalcare.com" TargetMode="External"/><Relationship Id="rId5" Type="http://schemas.openxmlformats.org/officeDocument/2006/relationships/hyperlink" Target="mailto:arunkumar.s@freseniusmedicalcare.com" TargetMode="External"/><Relationship Id="rId15" Type="http://schemas.openxmlformats.org/officeDocument/2006/relationships/hyperlink" Target="mailto:varsha.hariharan@freseniusmedicalcare.com" TargetMode="External"/><Relationship Id="rId23" Type="http://schemas.openxmlformats.org/officeDocument/2006/relationships/hyperlink" Target="mailto:pooja.ph@freseniusmedicalcare.com" TargetMode="External"/><Relationship Id="rId10" Type="http://schemas.openxmlformats.org/officeDocument/2006/relationships/hyperlink" Target="mailto:sainivedita.venishetty@freseniusmedicalcare.com" TargetMode="External"/><Relationship Id="rId19" Type="http://schemas.openxmlformats.org/officeDocument/2006/relationships/hyperlink" Target="mailto:vinay.kumar@freseniusmedicalcare.com" TargetMode="External"/><Relationship Id="rId4" Type="http://schemas.openxmlformats.org/officeDocument/2006/relationships/hyperlink" Target="mailto:muraligopalakrishna.yenamala@freseniusmedicalcare.com" TargetMode="External"/><Relationship Id="rId9" Type="http://schemas.openxmlformats.org/officeDocument/2006/relationships/hyperlink" Target="mailto:sainivedita.venishetty@freseniusmedicalcare.com" TargetMode="External"/><Relationship Id="rId14" Type="http://schemas.openxmlformats.org/officeDocument/2006/relationships/hyperlink" Target="mailto:arunprasath.s@freseniusmedicalcare.com" TargetMode="External"/><Relationship Id="rId22" Type="http://schemas.openxmlformats.org/officeDocument/2006/relationships/hyperlink" Target="mailto:vinay.kumar@freseniusmedicalcare.com" TargetMode="External"/><Relationship Id="rId27" Type="http://schemas.openxmlformats.org/officeDocument/2006/relationships/hyperlink" Target="mailto:vaishali.patel@freseniusmedicalcare.com%0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remijious.jebamalai@freseniusmedicalcare.com" TargetMode="External"/><Relationship Id="rId2" Type="http://schemas.openxmlformats.org/officeDocument/2006/relationships/hyperlink" Target="mailto:sampada.shahapure@freseniusmedicalcare.com" TargetMode="External"/><Relationship Id="rId1" Type="http://schemas.openxmlformats.org/officeDocument/2006/relationships/hyperlink" Target="mailto:esakkiappan.meenakshisundaram@freseniusmedicalcare.com" TargetMode="External"/><Relationship Id="rId6" Type="http://schemas.openxmlformats.org/officeDocument/2006/relationships/hyperlink" Target="mailto:nirmala.s@freseniusmedicalcare.com" TargetMode="External"/><Relationship Id="rId5" Type="http://schemas.openxmlformats.org/officeDocument/2006/relationships/hyperlink" Target="mailto:ayush.kumar2@freseniusmedicalcare.com" TargetMode="External"/><Relationship Id="rId4" Type="http://schemas.openxmlformats.org/officeDocument/2006/relationships/hyperlink" Target="mailto:sneha.m@freseniusmedicalcare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joerg.ludwig@freseniusmedicalcare.com" TargetMode="External"/><Relationship Id="rId18" Type="http://schemas.openxmlformats.org/officeDocument/2006/relationships/hyperlink" Target="mailto:Fatima.Raza@freseniusmedicalcare.com" TargetMode="External"/><Relationship Id="rId26" Type="http://schemas.openxmlformats.org/officeDocument/2006/relationships/hyperlink" Target="mailto:Olivier.deBruijn@freseniusmedicalcare.com" TargetMode="External"/><Relationship Id="rId3" Type="http://schemas.openxmlformats.org/officeDocument/2006/relationships/hyperlink" Target="mailto:amy.green@freseniusmedicalcare.com" TargetMode="External"/><Relationship Id="rId21" Type="http://schemas.openxmlformats.org/officeDocument/2006/relationships/hyperlink" Target="mailto:guruprasad.subbarayalu@freseniusmedicalcare.com" TargetMode="External"/><Relationship Id="rId7" Type="http://schemas.openxmlformats.org/officeDocument/2006/relationships/hyperlink" Target="mailto:ravi.vuta@freseniusmedicalcare.com" TargetMode="External"/><Relationship Id="rId12" Type="http://schemas.openxmlformats.org/officeDocument/2006/relationships/hyperlink" Target="mailto:guruprasad.subbarayalu@freseniusmedicalcare.com" TargetMode="External"/><Relationship Id="rId17" Type="http://schemas.openxmlformats.org/officeDocument/2006/relationships/hyperlink" Target="mailto:mahammed.zubair@freseniusmedicalcare.com" TargetMode="External"/><Relationship Id="rId25" Type="http://schemas.openxmlformats.org/officeDocument/2006/relationships/hyperlink" Target="mailto:thorsten.boecker@freseniusmedicalcare.com" TargetMode="External"/><Relationship Id="rId33" Type="http://schemas.openxmlformats.org/officeDocument/2006/relationships/hyperlink" Target="mailto:Cindy.Gartley@freseniusmedicalcare.com" TargetMode="External"/><Relationship Id="rId2" Type="http://schemas.openxmlformats.org/officeDocument/2006/relationships/hyperlink" Target="mailto:zachary.schuneman@freseniusmedicalcare.com" TargetMode="External"/><Relationship Id="rId16" Type="http://schemas.openxmlformats.org/officeDocument/2006/relationships/hyperlink" Target="mailto:ildiko-kinga.peter@freseniusmedicalcare.com" TargetMode="External"/><Relationship Id="rId20" Type="http://schemas.openxmlformats.org/officeDocument/2006/relationships/hyperlink" Target="mailto:Helena.Schmitz@freseniusmedicalcare.com" TargetMode="External"/><Relationship Id="rId29" Type="http://schemas.openxmlformats.org/officeDocument/2006/relationships/hyperlink" Target="mailto:Olivier.deBruijn@freseniusmedicalcare.com" TargetMode="External"/><Relationship Id="rId1" Type="http://schemas.openxmlformats.org/officeDocument/2006/relationships/hyperlink" Target="mailto:ceres.tenenbaum@freseniusmedicalcare.com" TargetMode="External"/><Relationship Id="rId6" Type="http://schemas.openxmlformats.org/officeDocument/2006/relationships/hyperlink" Target="mailto:ravi.vuta@freseniusmedicalcare.com" TargetMode="External"/><Relationship Id="rId11" Type="http://schemas.openxmlformats.org/officeDocument/2006/relationships/hyperlink" Target="mailto:Panthalarajan.Nagarethinam@freseniusmedicalcare.com" TargetMode="External"/><Relationship Id="rId24" Type="http://schemas.openxmlformats.org/officeDocument/2006/relationships/hyperlink" Target="mailto:harald.villinger@freseniusmedicalcare.com" TargetMode="External"/><Relationship Id="rId32" Type="http://schemas.openxmlformats.org/officeDocument/2006/relationships/hyperlink" Target="mailto:mahammed.zubair@freseniusmedicalcare.com" TargetMode="External"/><Relationship Id="rId5" Type="http://schemas.openxmlformats.org/officeDocument/2006/relationships/hyperlink" Target="mailto:renate.floeser@freseniusmedicalcare.com" TargetMode="External"/><Relationship Id="rId15" Type="http://schemas.openxmlformats.org/officeDocument/2006/relationships/hyperlink" Target="mailto:alexander.wagner@freseniusmedicalcare.com" TargetMode="External"/><Relationship Id="rId23" Type="http://schemas.openxmlformats.org/officeDocument/2006/relationships/hyperlink" Target="mailto:Duncan.Stewart@freseniusmedicalcare.com" TargetMode="External"/><Relationship Id="rId28" Type="http://schemas.openxmlformats.org/officeDocument/2006/relationships/hyperlink" Target="mailto:andreas.klaus@freseniusmedicalcare.com" TargetMode="External"/><Relationship Id="rId10" Type="http://schemas.openxmlformats.org/officeDocument/2006/relationships/hyperlink" Target="mailto:andreas.klaus@freseniusmedicalcare.com" TargetMode="External"/><Relationship Id="rId19" Type="http://schemas.openxmlformats.org/officeDocument/2006/relationships/hyperlink" Target="mailto:kondal.reddy.kasireddy@freseniusmedicalcare.com" TargetMode="External"/><Relationship Id="rId31" Type="http://schemas.openxmlformats.org/officeDocument/2006/relationships/hyperlink" Target="mailto:Charles.McField@freseniusmedicalcare.com" TargetMode="External"/><Relationship Id="rId4" Type="http://schemas.openxmlformats.org/officeDocument/2006/relationships/hyperlink" Target="mailto:surender-reddy.muddam@freseniusmedicalcare.com" TargetMode="External"/><Relationship Id="rId9" Type="http://schemas.openxmlformats.org/officeDocument/2006/relationships/hyperlink" Target="mailto:ravi.vuta@freseniusmedicalcare.com" TargetMode="External"/><Relationship Id="rId14" Type="http://schemas.openxmlformats.org/officeDocument/2006/relationships/hyperlink" Target="mailto:ildiko-kinga.peter@freseniusmedicalcare.com" TargetMode="External"/><Relationship Id="rId22" Type="http://schemas.openxmlformats.org/officeDocument/2006/relationships/hyperlink" Target="mailto:Charles.McField@freseniusmedicalcare.com" TargetMode="External"/><Relationship Id="rId27" Type="http://schemas.openxmlformats.org/officeDocument/2006/relationships/hyperlink" Target="mailto:andreas.klaus@freseniusmedicalcare.com" TargetMode="External"/><Relationship Id="rId30" Type="http://schemas.openxmlformats.org/officeDocument/2006/relationships/hyperlink" Target="mailto:Cindy.Gartley@freseniusmedicalcare.com" TargetMode="External"/><Relationship Id="rId8" Type="http://schemas.openxmlformats.org/officeDocument/2006/relationships/hyperlink" Target="mailto:eric.lucas@freseniusmedicalcare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Nirmala.s@freseniusmedicalcare.com" TargetMode="External"/><Relationship Id="rId2" Type="http://schemas.openxmlformats.org/officeDocument/2006/relationships/hyperlink" Target="mailto:sneha.m@freseniusmedicalcare.com" TargetMode="External"/><Relationship Id="rId1" Type="http://schemas.openxmlformats.org/officeDocument/2006/relationships/hyperlink" Target="mailto:arunprasanth.sridhar@freseniusmedicalcare.com" TargetMode="External"/><Relationship Id="rId4" Type="http://schemas.openxmlformats.org/officeDocument/2006/relationships/hyperlink" Target="mailto:faizan.ahmad@freseniusmedicalcare.com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vineel.Rampally@freseniusmedicalcare.com" TargetMode="External"/><Relationship Id="rId18" Type="http://schemas.openxmlformats.org/officeDocument/2006/relationships/hyperlink" Target="mailto:ildiko-kinga.peter@freseniusmedicalcare.com" TargetMode="External"/><Relationship Id="rId26" Type="http://schemas.openxmlformats.org/officeDocument/2006/relationships/hyperlink" Target="mailto:harald.villinger@freseniusmedicalcare.com" TargetMode="External"/><Relationship Id="rId39" Type="http://schemas.openxmlformats.org/officeDocument/2006/relationships/hyperlink" Target="mailto:Jain.Nitin@cognizant.com" TargetMode="External"/><Relationship Id="rId21" Type="http://schemas.openxmlformats.org/officeDocument/2006/relationships/hyperlink" Target="mailto:Jain.Nitin@cognizant.com" TargetMode="External"/><Relationship Id="rId34" Type="http://schemas.openxmlformats.org/officeDocument/2006/relationships/hyperlink" Target="mailto:Jain.Nitin@cognizant.com" TargetMode="External"/><Relationship Id="rId42" Type="http://schemas.openxmlformats.org/officeDocument/2006/relationships/hyperlink" Target="mailto:Jain.Nitin@cognizant.com" TargetMode="External"/><Relationship Id="rId47" Type="http://schemas.openxmlformats.org/officeDocument/2006/relationships/hyperlink" Target="mailto:andreas.klaus@freseniusmedicalcare.com" TargetMode="External"/><Relationship Id="rId7" Type="http://schemas.openxmlformats.org/officeDocument/2006/relationships/hyperlink" Target="mailto:renate.floeser@freseniusmedicalcare.com" TargetMode="External"/><Relationship Id="rId2" Type="http://schemas.openxmlformats.org/officeDocument/2006/relationships/hyperlink" Target="mailto:srinivas.pudari@freseniusmedicalcare.com" TargetMode="External"/><Relationship Id="rId16" Type="http://schemas.openxmlformats.org/officeDocument/2006/relationships/hyperlink" Target="mailto:Panthalarajan.Nagarethinam@freseniusmedicalcare.com" TargetMode="External"/><Relationship Id="rId29" Type="http://schemas.openxmlformats.org/officeDocument/2006/relationships/hyperlink" Target="mailto:Olivier.deBruijn@freseniusmedicalcare.com" TargetMode="External"/><Relationship Id="rId1" Type="http://schemas.openxmlformats.org/officeDocument/2006/relationships/hyperlink" Target="mailto:srinivas.pudari@freseniusmedicalcare.com" TargetMode="External"/><Relationship Id="rId6" Type="http://schemas.openxmlformats.org/officeDocument/2006/relationships/hyperlink" Target="mailto:surender-reddy.muddam@freseniusmedicalcare.com" TargetMode="External"/><Relationship Id="rId11" Type="http://schemas.openxmlformats.org/officeDocument/2006/relationships/hyperlink" Target="mailto:vineel.Rampally@freseniusmedicalcare.com" TargetMode="External"/><Relationship Id="rId24" Type="http://schemas.openxmlformats.org/officeDocument/2006/relationships/hyperlink" Target="mailto:Jain.Nitin@cognizant.com" TargetMode="External"/><Relationship Id="rId32" Type="http://schemas.openxmlformats.org/officeDocument/2006/relationships/hyperlink" Target="mailto:akriti.Vats@cognizant.com" TargetMode="External"/><Relationship Id="rId37" Type="http://schemas.openxmlformats.org/officeDocument/2006/relationships/hyperlink" Target="mailto:divya.unnikrishnan@freseniusmedicalcare.com" TargetMode="External"/><Relationship Id="rId40" Type="http://schemas.openxmlformats.org/officeDocument/2006/relationships/hyperlink" Target="mailto:akriti.Vats@cognizant.com" TargetMode="External"/><Relationship Id="rId45" Type="http://schemas.openxmlformats.org/officeDocument/2006/relationships/hyperlink" Target="mailto:divya.unnikrishnan@freseniusmedicalcare.com" TargetMode="External"/><Relationship Id="rId5" Type="http://schemas.openxmlformats.org/officeDocument/2006/relationships/hyperlink" Target="mailto:amy.green@freseniusmedicalcare.com" TargetMode="External"/><Relationship Id="rId15" Type="http://schemas.openxmlformats.org/officeDocument/2006/relationships/hyperlink" Target="mailto:andreas.klaus@freseniusmedicalcare.com" TargetMode="External"/><Relationship Id="rId23" Type="http://schemas.openxmlformats.org/officeDocument/2006/relationships/hyperlink" Target="mailto:Jain.Nitin@cognizant.com" TargetMode="External"/><Relationship Id="rId28" Type="http://schemas.openxmlformats.org/officeDocument/2006/relationships/hyperlink" Target="mailto:thorsten.boecker@freseniusmedicalcare.com" TargetMode="External"/><Relationship Id="rId36" Type="http://schemas.openxmlformats.org/officeDocument/2006/relationships/hyperlink" Target="mailto:akriti.Vats@cognizant.com" TargetMode="External"/><Relationship Id="rId10" Type="http://schemas.openxmlformats.org/officeDocument/2006/relationships/hyperlink" Target="mailto:eric.lucas@freseniusmedicalcare.com" TargetMode="External"/><Relationship Id="rId19" Type="http://schemas.openxmlformats.org/officeDocument/2006/relationships/hyperlink" Target="mailto:joyson.a@cognizant.com" TargetMode="External"/><Relationship Id="rId31" Type="http://schemas.openxmlformats.org/officeDocument/2006/relationships/hyperlink" Target="mailto:Jain.Nitin@cognizant.com" TargetMode="External"/><Relationship Id="rId44" Type="http://schemas.openxmlformats.org/officeDocument/2006/relationships/hyperlink" Target="mailto:divya.unnikrishnan@freseniusmedicalcare.com" TargetMode="External"/><Relationship Id="rId4" Type="http://schemas.openxmlformats.org/officeDocument/2006/relationships/hyperlink" Target="mailto:peter.okumah@freseniusmedicalcare.com" TargetMode="External"/><Relationship Id="rId9" Type="http://schemas.openxmlformats.org/officeDocument/2006/relationships/hyperlink" Target="mailto:ravi.vuta@freseniusmedicalcare.com" TargetMode="External"/><Relationship Id="rId14" Type="http://schemas.openxmlformats.org/officeDocument/2006/relationships/hyperlink" Target="mailto:ravi.vuta@freseniusmedicalcare.com" TargetMode="External"/><Relationship Id="rId22" Type="http://schemas.openxmlformats.org/officeDocument/2006/relationships/hyperlink" Target="mailto:Jain.Nitin@cognizant.com" TargetMode="External"/><Relationship Id="rId27" Type="http://schemas.openxmlformats.org/officeDocument/2006/relationships/hyperlink" Target="mailto:Maximilian.Naas@freseniusmedicalcare.com" TargetMode="External"/><Relationship Id="rId30" Type="http://schemas.openxmlformats.org/officeDocument/2006/relationships/hyperlink" Target="mailto:Jain.Nitin@cognizant.com" TargetMode="External"/><Relationship Id="rId35" Type="http://schemas.openxmlformats.org/officeDocument/2006/relationships/hyperlink" Target="mailto:Jain.Nitin@cognizant.com" TargetMode="External"/><Relationship Id="rId43" Type="http://schemas.openxmlformats.org/officeDocument/2006/relationships/hyperlink" Target="mailto:Jain.Nitin@cognizant.com" TargetMode="External"/><Relationship Id="rId48" Type="http://schemas.openxmlformats.org/officeDocument/2006/relationships/hyperlink" Target="mailto:andreas.klaus@freseniusmedicalcare.com" TargetMode="External"/><Relationship Id="rId8" Type="http://schemas.openxmlformats.org/officeDocument/2006/relationships/hyperlink" Target="mailto:ravi.vuta@freseniusmedicalcare.com" TargetMode="External"/><Relationship Id="rId3" Type="http://schemas.openxmlformats.org/officeDocument/2006/relationships/hyperlink" Target="mailto:alexandre.araujo@freseniusmedicalcare.com" TargetMode="External"/><Relationship Id="rId12" Type="http://schemas.openxmlformats.org/officeDocument/2006/relationships/hyperlink" Target="mailto:vineel.Rampally@freseniusmedicalcare.com" TargetMode="External"/><Relationship Id="rId17" Type="http://schemas.openxmlformats.org/officeDocument/2006/relationships/hyperlink" Target="mailto:guruprasad.subbarayalu@freseniusmedicalcare.com" TargetMode="External"/><Relationship Id="rId25" Type="http://schemas.openxmlformats.org/officeDocument/2006/relationships/hyperlink" Target="mailto:Jain.Nitin@cognizant.com" TargetMode="External"/><Relationship Id="rId33" Type="http://schemas.openxmlformats.org/officeDocument/2006/relationships/hyperlink" Target="mailto:Jain.Nitin@cognizant.com" TargetMode="External"/><Relationship Id="rId38" Type="http://schemas.openxmlformats.org/officeDocument/2006/relationships/hyperlink" Target="mailto:Jain.Nitin@cognizant.com" TargetMode="External"/><Relationship Id="rId46" Type="http://schemas.openxmlformats.org/officeDocument/2006/relationships/hyperlink" Target="mailto:divya.unnikrishnan@freseniusmedicalcare.com" TargetMode="External"/><Relationship Id="rId20" Type="http://schemas.openxmlformats.org/officeDocument/2006/relationships/hyperlink" Target="mailto:Kondal.Reddy.Kasireddy@freseniusmedicalcare.com" TargetMode="External"/><Relationship Id="rId41" Type="http://schemas.openxmlformats.org/officeDocument/2006/relationships/hyperlink" Target="mailto:Jain.Nitin@cognizant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Jeevan.Empati@cognizant.com" TargetMode="External"/><Relationship Id="rId3" Type="http://schemas.openxmlformats.org/officeDocument/2006/relationships/hyperlink" Target="mailto:Digvijay.Shinde@cognizant.com" TargetMode="External"/><Relationship Id="rId7" Type="http://schemas.openxmlformats.org/officeDocument/2006/relationships/hyperlink" Target="mailto:Divya.Unnikrishnan@freseniusmedicalcare.com" TargetMode="External"/><Relationship Id="rId12" Type="http://schemas.openxmlformats.org/officeDocument/2006/relationships/hyperlink" Target="Brajaballav.Nath@freseniusmedicalcare.com" TargetMode="External"/><Relationship Id="rId2" Type="http://schemas.openxmlformats.org/officeDocument/2006/relationships/hyperlink" Target="mailto:joyson.a@cognizant.com" TargetMode="External"/><Relationship Id="rId1" Type="http://schemas.openxmlformats.org/officeDocument/2006/relationships/hyperlink" Target="mailto:Arun.KumarS4@cognizant.com" TargetMode="External"/><Relationship Id="rId6" Type="http://schemas.openxmlformats.org/officeDocument/2006/relationships/hyperlink" Target="mailto:Divya.Unnikrishnan@cognizant.com" TargetMode="External"/><Relationship Id="rId11" Type="http://schemas.openxmlformats.org/officeDocument/2006/relationships/hyperlink" Target="mailto:pooja.ph@freseniusmedicalcare.com" TargetMode="External"/><Relationship Id="rId5" Type="http://schemas.openxmlformats.org/officeDocument/2006/relationships/hyperlink" Target="mailto:Vinay.Kumar3106b3@cognizant.com" TargetMode="External"/><Relationship Id="rId10" Type="http://schemas.openxmlformats.org/officeDocument/2006/relationships/hyperlink" Target="mailto:Pooja.PH@cognizant.com" TargetMode="External"/><Relationship Id="rId4" Type="http://schemas.openxmlformats.org/officeDocument/2006/relationships/hyperlink" Target="mailto:vinishkumar.v.m@cognizant.com" TargetMode="External"/><Relationship Id="rId9" Type="http://schemas.openxmlformats.org/officeDocument/2006/relationships/hyperlink" Target="mailto:jeevan.empati@freseniusmedicalcare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nikhil.bhiste@freseniusmedicalcare.com" TargetMode="External"/><Relationship Id="rId13" Type="http://schemas.openxmlformats.org/officeDocument/2006/relationships/hyperlink" Target="mailto:diksha.kokadwar@freseniusmedicalcare.com" TargetMode="External"/><Relationship Id="rId3" Type="http://schemas.openxmlformats.org/officeDocument/2006/relationships/hyperlink" Target="mailto:jain.nitin@freseniusmedicalcare.com" TargetMode="External"/><Relationship Id="rId7" Type="http://schemas.openxmlformats.org/officeDocument/2006/relationships/hyperlink" Target="mailto:akriti.vats@freseniusmedicalcare.com" TargetMode="External"/><Relationship Id="rId12" Type="http://schemas.openxmlformats.org/officeDocument/2006/relationships/hyperlink" Target="mailto:shashank.purohit1@freseniusmedicalcare.com" TargetMode="External"/><Relationship Id="rId17" Type="http://schemas.openxmlformats.org/officeDocument/2006/relationships/hyperlink" Target="mailto:sagar.kaware@freseniusmedicalcare.com" TargetMode="External"/><Relationship Id="rId2" Type="http://schemas.openxmlformats.org/officeDocument/2006/relationships/hyperlink" Target="mailto:kolekar.vaibhavsunil@freseniusmedicalcare.com" TargetMode="External"/><Relationship Id="rId16" Type="http://schemas.openxmlformats.org/officeDocument/2006/relationships/hyperlink" Target="mailto:gowthami.konduri@freseniusmedicalcare.com" TargetMode="External"/><Relationship Id="rId1" Type="http://schemas.openxmlformats.org/officeDocument/2006/relationships/hyperlink" Target="mailto:kandagatla.kaushik@freseniusmedicalcare.com" TargetMode="External"/><Relationship Id="rId6" Type="http://schemas.openxmlformats.org/officeDocument/2006/relationships/hyperlink" Target="mailto:venkatasubrahmanyam.kotra@freseniusmedicalcare.com" TargetMode="External"/><Relationship Id="rId11" Type="http://schemas.openxmlformats.org/officeDocument/2006/relationships/hyperlink" Target="mailto:venkatasubrahmanyam.kotra@freseniusmedicalcare.com" TargetMode="External"/><Relationship Id="rId5" Type="http://schemas.openxmlformats.org/officeDocument/2006/relationships/hyperlink" Target="mailto:sagar.kaware@freseniusmedicalcare.com" TargetMode="External"/><Relationship Id="rId15" Type="http://schemas.openxmlformats.org/officeDocument/2006/relationships/hyperlink" Target="mailto:pushpa.gajananpatil@freseniusmedicalcare.com" TargetMode="External"/><Relationship Id="rId10" Type="http://schemas.openxmlformats.org/officeDocument/2006/relationships/hyperlink" Target="mailto:venkatasubrahmanyam.kotra@freseniusmedicalcare.com" TargetMode="External"/><Relationship Id="rId4" Type="http://schemas.openxmlformats.org/officeDocument/2006/relationships/hyperlink" Target="mailto:gowthami.konduri@freseniusmedicalcare.com" TargetMode="External"/><Relationship Id="rId9" Type="http://schemas.openxmlformats.org/officeDocument/2006/relationships/hyperlink" Target="mailto:venkatasubrahmanyam.kotra@freseniusmedicalcare.com" TargetMode="External"/><Relationship Id="rId14" Type="http://schemas.openxmlformats.org/officeDocument/2006/relationships/hyperlink" Target="mailto:manoj.yamala@freseniusmedicalcare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venkatasubrahmanyam.kotra@freseniusmedicalcare.com" TargetMode="External"/><Relationship Id="rId13" Type="http://schemas.openxmlformats.org/officeDocument/2006/relationships/hyperlink" Target="mailto:gowthami.konduri@freseniusmedicalcare.com" TargetMode="External"/><Relationship Id="rId3" Type="http://schemas.openxmlformats.org/officeDocument/2006/relationships/hyperlink" Target="mailto:shashank.purohit1@freseniusmedicalcare.com" TargetMode="External"/><Relationship Id="rId7" Type="http://schemas.openxmlformats.org/officeDocument/2006/relationships/hyperlink" Target="mailto:venkatasubrahmanyam.kotra@freseniusmedicalcare.com" TargetMode="External"/><Relationship Id="rId12" Type="http://schemas.openxmlformats.org/officeDocument/2006/relationships/hyperlink" Target="mailto:divya.unnikrishnan@freseniusmedicalcare.com" TargetMode="External"/><Relationship Id="rId2" Type="http://schemas.openxmlformats.org/officeDocument/2006/relationships/hyperlink" Target="mailto:gowthami.konduri@freseniusmedicalcare.com" TargetMode="External"/><Relationship Id="rId16" Type="http://schemas.openxmlformats.org/officeDocument/2006/relationships/hyperlink" Target="mailto:gouravkumar.patnaik@freseniusmedicalcare.com" TargetMode="External"/><Relationship Id="rId1" Type="http://schemas.openxmlformats.org/officeDocument/2006/relationships/hyperlink" Target="mailto:kolekar.vaibhavsunil@freseniusmedicalcare.com" TargetMode="External"/><Relationship Id="rId6" Type="http://schemas.openxmlformats.org/officeDocument/2006/relationships/hyperlink" Target="mailto:pushpa.gajananpatil@freseniusmedicalcare.com" TargetMode="External"/><Relationship Id="rId11" Type="http://schemas.openxmlformats.org/officeDocument/2006/relationships/hyperlink" Target="mailto:goutam.bhadravti-mohan@freseniusmedicalcare.com" TargetMode="External"/><Relationship Id="rId5" Type="http://schemas.openxmlformats.org/officeDocument/2006/relationships/hyperlink" Target="mailto:sagar.kaware@freseniusmedicalcare.com" TargetMode="External"/><Relationship Id="rId15" Type="http://schemas.openxmlformats.org/officeDocument/2006/relationships/hyperlink" Target="mailto:vinothkumar.udhayakumar@freseniusmedicalcare.com" TargetMode="External"/><Relationship Id="rId10" Type="http://schemas.openxmlformats.org/officeDocument/2006/relationships/hyperlink" Target="mailto:divya.unnikrishnan@freseniusmedicalcare.com" TargetMode="External"/><Relationship Id="rId4" Type="http://schemas.openxmlformats.org/officeDocument/2006/relationships/hyperlink" Target="mailto:gowthami.konduri@freseniusmedicalcare.com" TargetMode="External"/><Relationship Id="rId9" Type="http://schemas.openxmlformats.org/officeDocument/2006/relationships/hyperlink" Target="mailto:sakshirajshekhar.bhuse@freseniusmedicalcare.com" TargetMode="External"/><Relationship Id="rId14" Type="http://schemas.openxmlformats.org/officeDocument/2006/relationships/hyperlink" Target="mailto:spoorthy.hr1@freseniusmedicalcare.com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mailto:joerg.ludwig@freseniusmedicalcare.com" TargetMode="External"/><Relationship Id="rId18" Type="http://schemas.openxmlformats.org/officeDocument/2006/relationships/hyperlink" Target="mailto:Fatima.Raza@freseniusmedicalcare.com" TargetMode="External"/><Relationship Id="rId26" Type="http://schemas.openxmlformats.org/officeDocument/2006/relationships/hyperlink" Target="mailto:Olivier.deBruijn@freseniusmedicalcare.com" TargetMode="External"/><Relationship Id="rId3" Type="http://schemas.openxmlformats.org/officeDocument/2006/relationships/hyperlink" Target="mailto:amy.green@freseniusmedicalcare.com" TargetMode="External"/><Relationship Id="rId21" Type="http://schemas.openxmlformats.org/officeDocument/2006/relationships/hyperlink" Target="mailto:guruprasad.subbarayalu@freseniusmedicalcare.com" TargetMode="External"/><Relationship Id="rId7" Type="http://schemas.openxmlformats.org/officeDocument/2006/relationships/hyperlink" Target="mailto:ravi.vuta@freseniusmedicalcare.com" TargetMode="External"/><Relationship Id="rId12" Type="http://schemas.openxmlformats.org/officeDocument/2006/relationships/hyperlink" Target="mailto:guruprasad.subbarayalu@freseniusmedicalcare.com" TargetMode="External"/><Relationship Id="rId17" Type="http://schemas.openxmlformats.org/officeDocument/2006/relationships/hyperlink" Target="mailto:mahammed.zubair@freseniusmedicalcare.com" TargetMode="External"/><Relationship Id="rId25" Type="http://schemas.openxmlformats.org/officeDocument/2006/relationships/hyperlink" Target="mailto:thorsten.boecker@freseniusmedicalcare.com" TargetMode="External"/><Relationship Id="rId33" Type="http://schemas.openxmlformats.org/officeDocument/2006/relationships/hyperlink" Target="mailto:Cindy.Gartley@freseniusmedicalcare.com" TargetMode="External"/><Relationship Id="rId2" Type="http://schemas.openxmlformats.org/officeDocument/2006/relationships/hyperlink" Target="mailto:zachary.schuneman@freseniusmedicalcare.com" TargetMode="External"/><Relationship Id="rId16" Type="http://schemas.openxmlformats.org/officeDocument/2006/relationships/hyperlink" Target="mailto:ildiko-kinga.peter@freseniusmedicalcare.com" TargetMode="External"/><Relationship Id="rId20" Type="http://schemas.openxmlformats.org/officeDocument/2006/relationships/hyperlink" Target="mailto:Helena.Schmitz@freseniusmedicalcare.com" TargetMode="External"/><Relationship Id="rId29" Type="http://schemas.openxmlformats.org/officeDocument/2006/relationships/hyperlink" Target="mailto:Olivier.deBruijn@freseniusmedicalcare.com" TargetMode="External"/><Relationship Id="rId1" Type="http://schemas.openxmlformats.org/officeDocument/2006/relationships/hyperlink" Target="mailto:ceres.tenenbaum@freseniusmedicalcare.com" TargetMode="External"/><Relationship Id="rId6" Type="http://schemas.openxmlformats.org/officeDocument/2006/relationships/hyperlink" Target="mailto:ravi.vuta@freseniusmedicalcare.com" TargetMode="External"/><Relationship Id="rId11" Type="http://schemas.openxmlformats.org/officeDocument/2006/relationships/hyperlink" Target="mailto:Panthalarajan.Nagarethinam@freseniusmedicalcare.com" TargetMode="External"/><Relationship Id="rId24" Type="http://schemas.openxmlformats.org/officeDocument/2006/relationships/hyperlink" Target="mailto:harald.villinger@freseniusmedicalcare.com" TargetMode="External"/><Relationship Id="rId32" Type="http://schemas.openxmlformats.org/officeDocument/2006/relationships/hyperlink" Target="mailto:mahammed.zubair@freseniusmedicalcare.com" TargetMode="External"/><Relationship Id="rId5" Type="http://schemas.openxmlformats.org/officeDocument/2006/relationships/hyperlink" Target="mailto:renate.floeser@freseniusmedicalcare.com" TargetMode="External"/><Relationship Id="rId15" Type="http://schemas.openxmlformats.org/officeDocument/2006/relationships/hyperlink" Target="mailto:alexander.wagner@freseniusmedicalcare.com" TargetMode="External"/><Relationship Id="rId23" Type="http://schemas.openxmlformats.org/officeDocument/2006/relationships/hyperlink" Target="mailto:Duncan.Stewart@freseniusmedicalcare.com" TargetMode="External"/><Relationship Id="rId28" Type="http://schemas.openxmlformats.org/officeDocument/2006/relationships/hyperlink" Target="mailto:andreas.klaus@freseniusmedicalcare.com" TargetMode="External"/><Relationship Id="rId10" Type="http://schemas.openxmlformats.org/officeDocument/2006/relationships/hyperlink" Target="mailto:andreas.klaus@freseniusmedicalcare.com" TargetMode="External"/><Relationship Id="rId19" Type="http://schemas.openxmlformats.org/officeDocument/2006/relationships/hyperlink" Target="mailto:kondal.reddy.kasireddy@freseniusmedicalcare.com" TargetMode="External"/><Relationship Id="rId31" Type="http://schemas.openxmlformats.org/officeDocument/2006/relationships/hyperlink" Target="mailto:Charles.McField@freseniusmedicalcare.com" TargetMode="External"/><Relationship Id="rId4" Type="http://schemas.openxmlformats.org/officeDocument/2006/relationships/hyperlink" Target="mailto:surender-reddy.muddam@freseniusmedicalcare.com" TargetMode="External"/><Relationship Id="rId9" Type="http://schemas.openxmlformats.org/officeDocument/2006/relationships/hyperlink" Target="mailto:ravi.vuta@freseniusmedicalcare.com" TargetMode="External"/><Relationship Id="rId14" Type="http://schemas.openxmlformats.org/officeDocument/2006/relationships/hyperlink" Target="mailto:ildiko-kinga.peter@freseniusmedicalcare.com" TargetMode="External"/><Relationship Id="rId22" Type="http://schemas.openxmlformats.org/officeDocument/2006/relationships/hyperlink" Target="mailto:Charles.McField@freseniusmedicalcare.com" TargetMode="External"/><Relationship Id="rId27" Type="http://schemas.openxmlformats.org/officeDocument/2006/relationships/hyperlink" Target="mailto:andreas.klaus@freseniusmedicalcare.com" TargetMode="External"/><Relationship Id="rId30" Type="http://schemas.openxmlformats.org/officeDocument/2006/relationships/hyperlink" Target="mailto:Cindy.Gartley@freseniusmedicalcare.com" TargetMode="External"/><Relationship Id="rId8" Type="http://schemas.openxmlformats.org/officeDocument/2006/relationships/hyperlink" Target="mailto:eric.lucas@freseniusmedical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0429-5354-48CE-9F2E-AD3C0B29F5D5}">
  <dimension ref="A1:U46"/>
  <sheetViews>
    <sheetView zoomScale="70" zoomScaleNormal="70" workbookViewId="0">
      <pane ySplit="1" topLeftCell="A2" activePane="bottomLeft" state="frozen"/>
      <selection pane="bottomLeft" activeCell="D30" sqref="D30"/>
    </sheetView>
  </sheetViews>
  <sheetFormatPr defaultRowHeight="14.45"/>
  <cols>
    <col min="1" max="1" width="6.28515625" bestFit="1" customWidth="1"/>
    <col min="2" max="2" width="45.5703125" customWidth="1"/>
    <col min="3" max="3" width="35.140625" bestFit="1" customWidth="1"/>
    <col min="4" max="4" width="48.85546875" bestFit="1" customWidth="1"/>
    <col min="5" max="5" width="32.5703125" customWidth="1"/>
    <col min="6" max="6" width="32.140625" bestFit="1" customWidth="1"/>
    <col min="7" max="7" width="11.28515625" bestFit="1" customWidth="1"/>
    <col min="8" max="8" width="17.42578125" customWidth="1"/>
    <col min="9" max="9" width="43.85546875" style="121" customWidth="1"/>
  </cols>
  <sheetData>
    <row r="1" spans="1:9" ht="36.75" customHeight="1">
      <c r="A1" s="1" t="s">
        <v>0</v>
      </c>
      <c r="B1" s="2" t="s">
        <v>1</v>
      </c>
      <c r="C1" s="2" t="s">
        <v>2</v>
      </c>
      <c r="D1" s="80" t="s">
        <v>3</v>
      </c>
      <c r="E1" s="2" t="s">
        <v>4</v>
      </c>
      <c r="F1" s="2" t="s">
        <v>5</v>
      </c>
      <c r="G1" s="2" t="s">
        <v>6</v>
      </c>
      <c r="H1" s="54" t="s">
        <v>7</v>
      </c>
      <c r="I1" s="125"/>
    </row>
    <row r="2" spans="1:9" s="50" customFormat="1" ht="26.1">
      <c r="A2" s="49">
        <v>535</v>
      </c>
      <c r="B2" s="49" t="s">
        <v>8</v>
      </c>
      <c r="C2" s="50" t="s">
        <v>9</v>
      </c>
      <c r="D2" s="105" t="s">
        <v>10</v>
      </c>
      <c r="E2" s="101" t="s">
        <v>11</v>
      </c>
      <c r="F2" s="49" t="s">
        <v>11</v>
      </c>
      <c r="G2" s="102" t="s">
        <v>12</v>
      </c>
      <c r="H2" s="103" t="s">
        <v>13</v>
      </c>
      <c r="I2" s="126"/>
    </row>
    <row r="3" spans="1:9" ht="26.1">
      <c r="A3" s="4">
        <v>124</v>
      </c>
      <c r="B3" s="3" t="s">
        <v>14</v>
      </c>
      <c r="C3" s="77" t="s">
        <v>15</v>
      </c>
      <c r="D3" s="115" t="s">
        <v>16</v>
      </c>
      <c r="E3" s="79" t="s">
        <v>17</v>
      </c>
      <c r="F3" s="3" t="s">
        <v>18</v>
      </c>
      <c r="G3" s="6" t="s">
        <v>19</v>
      </c>
      <c r="H3" s="113" t="s">
        <v>13</v>
      </c>
      <c r="I3" s="114"/>
    </row>
    <row r="4" spans="1:9" ht="26.1">
      <c r="A4" s="4">
        <v>127</v>
      </c>
      <c r="B4" s="3" t="s">
        <v>20</v>
      </c>
      <c r="C4" s="77" t="s">
        <v>15</v>
      </c>
      <c r="D4" s="119" t="s">
        <v>21</v>
      </c>
      <c r="E4" s="79" t="s">
        <v>17</v>
      </c>
      <c r="F4" s="3" t="s">
        <v>17</v>
      </c>
      <c r="G4" s="6" t="s">
        <v>12</v>
      </c>
      <c r="H4" s="55" t="s">
        <v>13</v>
      </c>
      <c r="I4" s="125"/>
    </row>
    <row r="5" spans="1:9" ht="26.1">
      <c r="A5" s="4">
        <v>128</v>
      </c>
      <c r="B5" s="3" t="s">
        <v>22</v>
      </c>
      <c r="C5" s="77" t="s">
        <v>15</v>
      </c>
      <c r="D5" s="76" t="s">
        <v>21</v>
      </c>
      <c r="E5" s="79" t="s">
        <v>17</v>
      </c>
      <c r="F5" s="3" t="s">
        <v>23</v>
      </c>
      <c r="G5" s="6" t="s">
        <v>12</v>
      </c>
      <c r="H5" s="55" t="s">
        <v>13</v>
      </c>
      <c r="I5" s="125"/>
    </row>
    <row r="6" spans="1:9" ht="26.1">
      <c r="A6" s="4">
        <v>129</v>
      </c>
      <c r="B6" s="3" t="s">
        <v>24</v>
      </c>
      <c r="C6" s="77" t="s">
        <v>15</v>
      </c>
      <c r="D6" s="120" t="s">
        <v>25</v>
      </c>
      <c r="E6" s="79" t="s">
        <v>17</v>
      </c>
      <c r="F6" s="3" t="s">
        <v>17</v>
      </c>
      <c r="G6" s="6" t="s">
        <v>12</v>
      </c>
      <c r="H6" s="55" t="s">
        <v>13</v>
      </c>
      <c r="I6" s="125"/>
    </row>
    <row r="7" spans="1:9" ht="26.1">
      <c r="A7" s="3">
        <v>518</v>
      </c>
      <c r="B7" s="3" t="s">
        <v>26</v>
      </c>
      <c r="C7" s="77" t="s">
        <v>15</v>
      </c>
      <c r="D7" s="115" t="s">
        <v>21</v>
      </c>
      <c r="E7" s="79" t="s">
        <v>17</v>
      </c>
      <c r="F7" s="3" t="s">
        <v>17</v>
      </c>
      <c r="G7" s="5" t="s">
        <v>27</v>
      </c>
      <c r="H7" s="113" t="s">
        <v>13</v>
      </c>
      <c r="I7" s="114"/>
    </row>
    <row r="8" spans="1:9" ht="26.1">
      <c r="A8" s="4">
        <v>140</v>
      </c>
      <c r="B8" s="3" t="s">
        <v>28</v>
      </c>
      <c r="C8" s="78" t="s">
        <v>15</v>
      </c>
      <c r="D8" s="119" t="s">
        <v>29</v>
      </c>
      <c r="E8" s="79" t="s">
        <v>30</v>
      </c>
      <c r="F8" s="6" t="s">
        <v>31</v>
      </c>
      <c r="G8" s="5" t="s">
        <v>32</v>
      </c>
      <c r="H8" s="113" t="s">
        <v>13</v>
      </c>
      <c r="I8" s="125"/>
    </row>
    <row r="9" spans="1:9" ht="26.1">
      <c r="A9" s="4">
        <v>142</v>
      </c>
      <c r="B9" s="3" t="s">
        <v>33</v>
      </c>
      <c r="C9" s="77" t="s">
        <v>15</v>
      </c>
      <c r="D9" s="76" t="s">
        <v>34</v>
      </c>
      <c r="E9" s="79" t="s">
        <v>30</v>
      </c>
      <c r="F9" s="6" t="s">
        <v>35</v>
      </c>
      <c r="G9" s="6" t="s">
        <v>12</v>
      </c>
      <c r="H9" s="55" t="s">
        <v>13</v>
      </c>
      <c r="I9" s="125"/>
    </row>
    <row r="10" spans="1:9" ht="26.1">
      <c r="A10" s="4">
        <v>111</v>
      </c>
      <c r="B10" s="3" t="s">
        <v>36</v>
      </c>
      <c r="C10" s="77" t="s">
        <v>15</v>
      </c>
      <c r="D10" s="115" t="s">
        <v>37</v>
      </c>
      <c r="E10" s="79" t="s">
        <v>38</v>
      </c>
      <c r="F10" s="6" t="s">
        <v>39</v>
      </c>
      <c r="G10" s="5" t="s">
        <v>19</v>
      </c>
      <c r="H10" s="113" t="s">
        <v>13</v>
      </c>
      <c r="I10" s="125"/>
    </row>
    <row r="11" spans="1:9" ht="26.1">
      <c r="A11" s="4">
        <v>120</v>
      </c>
      <c r="B11" s="3" t="s">
        <v>40</v>
      </c>
      <c r="C11" s="77" t="s">
        <v>15</v>
      </c>
      <c r="D11" s="76" t="s">
        <v>41</v>
      </c>
      <c r="E11" s="79" t="s">
        <v>42</v>
      </c>
      <c r="F11" s="6" t="s">
        <v>43</v>
      </c>
      <c r="G11" s="6" t="s">
        <v>12</v>
      </c>
      <c r="H11" s="55" t="s">
        <v>13</v>
      </c>
      <c r="I11" s="125"/>
    </row>
    <row r="12" spans="1:9" ht="26.1">
      <c r="A12" s="4">
        <v>121</v>
      </c>
      <c r="B12" s="3" t="s">
        <v>44</v>
      </c>
      <c r="C12" s="77" t="s">
        <v>15</v>
      </c>
      <c r="D12" s="120" t="s">
        <v>41</v>
      </c>
      <c r="E12" s="79" t="s">
        <v>42</v>
      </c>
      <c r="F12" s="6" t="s">
        <v>43</v>
      </c>
      <c r="G12" s="6" t="s">
        <v>12</v>
      </c>
      <c r="H12" s="55" t="s">
        <v>13</v>
      </c>
      <c r="I12" s="125"/>
    </row>
    <row r="13" spans="1:9" ht="26.1">
      <c r="A13" s="4">
        <v>122</v>
      </c>
      <c r="B13" s="3" t="s">
        <v>45</v>
      </c>
      <c r="C13" s="77" t="s">
        <v>15</v>
      </c>
      <c r="D13" s="115" t="s">
        <v>46</v>
      </c>
      <c r="E13" s="79" t="s">
        <v>42</v>
      </c>
      <c r="F13" s="6" t="s">
        <v>43</v>
      </c>
      <c r="G13" s="5" t="s">
        <v>19</v>
      </c>
      <c r="H13" s="113" t="s">
        <v>13</v>
      </c>
      <c r="I13" s="125"/>
    </row>
    <row r="14" spans="1:9" ht="26.1">
      <c r="A14" s="4">
        <v>106</v>
      </c>
      <c r="B14" s="3" t="s">
        <v>47</v>
      </c>
      <c r="C14" s="78" t="s">
        <v>48</v>
      </c>
      <c r="D14" s="119" t="s">
        <v>49</v>
      </c>
      <c r="E14" s="79" t="s">
        <v>50</v>
      </c>
      <c r="F14" s="3" t="s">
        <v>51</v>
      </c>
      <c r="G14" s="5" t="s">
        <v>19</v>
      </c>
      <c r="H14" s="113" t="s">
        <v>13</v>
      </c>
      <c r="I14" s="114"/>
    </row>
    <row r="15" spans="1:9" ht="26.1">
      <c r="A15" s="4">
        <v>152</v>
      </c>
      <c r="B15" s="3" t="s">
        <v>52</v>
      </c>
      <c r="C15" s="78" t="s">
        <v>53</v>
      </c>
      <c r="D15" s="76" t="s">
        <v>54</v>
      </c>
      <c r="E15" s="79" t="s">
        <v>51</v>
      </c>
      <c r="F15" s="3" t="s">
        <v>51</v>
      </c>
      <c r="G15" s="6" t="s">
        <v>12</v>
      </c>
      <c r="H15" s="55" t="s">
        <v>13</v>
      </c>
      <c r="I15" s="125"/>
    </row>
    <row r="16" spans="1:9" ht="26.1">
      <c r="A16" s="3">
        <v>538</v>
      </c>
      <c r="B16" s="3" t="s">
        <v>55</v>
      </c>
      <c r="C16" s="78" t="s">
        <v>56</v>
      </c>
      <c r="D16" s="76" t="s">
        <v>57</v>
      </c>
      <c r="E16" s="79" t="s">
        <v>50</v>
      </c>
      <c r="F16" s="3" t="s">
        <v>51</v>
      </c>
      <c r="G16" s="5" t="s">
        <v>19</v>
      </c>
      <c r="H16" s="113" t="s">
        <v>13</v>
      </c>
      <c r="I16" s="114"/>
    </row>
    <row r="17" spans="1:9" ht="29.1">
      <c r="A17" s="4">
        <v>108</v>
      </c>
      <c r="B17" s="434" t="s">
        <v>58</v>
      </c>
      <c r="C17" s="78" t="s">
        <v>15</v>
      </c>
      <c r="D17" s="100" t="s">
        <v>59</v>
      </c>
      <c r="E17" s="79" t="s">
        <v>60</v>
      </c>
      <c r="F17" s="3" t="s">
        <v>61</v>
      </c>
      <c r="G17" s="5" t="s">
        <v>19</v>
      </c>
      <c r="H17" s="55" t="s">
        <v>62</v>
      </c>
      <c r="I17" s="125"/>
    </row>
    <row r="18" spans="1:9" ht="26.1">
      <c r="A18" s="4">
        <v>109</v>
      </c>
      <c r="B18" s="434" t="s">
        <v>63</v>
      </c>
      <c r="C18" s="78" t="s">
        <v>64</v>
      </c>
      <c r="D18" s="100" t="s">
        <v>65</v>
      </c>
      <c r="E18" s="79" t="s">
        <v>60</v>
      </c>
      <c r="F18" s="3" t="s">
        <v>66</v>
      </c>
      <c r="G18" s="5" t="s">
        <v>19</v>
      </c>
      <c r="H18" s="55" t="s">
        <v>62</v>
      </c>
      <c r="I18" s="125"/>
    </row>
    <row r="19" spans="1:9" ht="26.1">
      <c r="A19" s="4">
        <v>112</v>
      </c>
      <c r="B19" s="434" t="s">
        <v>67</v>
      </c>
      <c r="C19" s="464" t="s">
        <v>68</v>
      </c>
      <c r="D19" s="76" t="s">
        <v>69</v>
      </c>
      <c r="E19" s="79" t="s">
        <v>60</v>
      </c>
      <c r="F19" s="3" t="s">
        <v>60</v>
      </c>
      <c r="G19" s="5" t="s">
        <v>19</v>
      </c>
      <c r="H19" s="55" t="s">
        <v>62</v>
      </c>
      <c r="I19" s="125"/>
    </row>
    <row r="20" spans="1:9" ht="26.1">
      <c r="A20" s="4">
        <v>113</v>
      </c>
      <c r="B20" s="434" t="s">
        <v>70</v>
      </c>
      <c r="C20" s="78" t="s">
        <v>71</v>
      </c>
      <c r="D20" s="76" t="s">
        <v>69</v>
      </c>
      <c r="E20" s="79" t="s">
        <v>60</v>
      </c>
      <c r="F20" s="6" t="s">
        <v>72</v>
      </c>
      <c r="G20" s="5" t="s">
        <v>19</v>
      </c>
      <c r="H20" s="55" t="s">
        <v>62</v>
      </c>
      <c r="I20" s="125"/>
    </row>
    <row r="21" spans="1:9" ht="26.1">
      <c r="A21" s="4">
        <v>913</v>
      </c>
      <c r="B21" s="465" t="s">
        <v>73</v>
      </c>
      <c r="C21" s="78" t="s">
        <v>68</v>
      </c>
      <c r="D21" s="76" t="s">
        <v>69</v>
      </c>
      <c r="E21" s="79" t="s">
        <v>60</v>
      </c>
      <c r="F21" s="3" t="s">
        <v>74</v>
      </c>
      <c r="G21" s="5" t="s">
        <v>19</v>
      </c>
      <c r="H21" s="56" t="s">
        <v>75</v>
      </c>
      <c r="I21" s="125"/>
    </row>
    <row r="22" spans="1:9" ht="26.1">
      <c r="A22" s="4">
        <v>116</v>
      </c>
      <c r="B22" s="3" t="s">
        <v>76</v>
      </c>
      <c r="C22" s="77" t="s">
        <v>15</v>
      </c>
      <c r="D22" s="76" t="s">
        <v>77</v>
      </c>
      <c r="E22" s="79" t="s">
        <v>42</v>
      </c>
      <c r="F22" s="79" t="s">
        <v>78</v>
      </c>
      <c r="G22" s="6" t="s">
        <v>12</v>
      </c>
      <c r="H22" s="55" t="s">
        <v>13</v>
      </c>
      <c r="I22" s="125"/>
    </row>
    <row r="23" spans="1:9" ht="26.1">
      <c r="A23" s="4">
        <v>117</v>
      </c>
      <c r="B23" s="3" t="s">
        <v>79</v>
      </c>
      <c r="C23" s="77" t="s">
        <v>15</v>
      </c>
      <c r="D23" s="100" t="s">
        <v>80</v>
      </c>
      <c r="E23" s="79" t="s">
        <v>81</v>
      </c>
      <c r="F23" s="3" t="s">
        <v>81</v>
      </c>
      <c r="G23" s="6" t="s">
        <v>12</v>
      </c>
      <c r="H23" s="55" t="s">
        <v>13</v>
      </c>
      <c r="I23" s="125"/>
    </row>
    <row r="24" spans="1:9" ht="26.1">
      <c r="A24" s="3">
        <v>999</v>
      </c>
      <c r="B24" s="3" t="s">
        <v>82</v>
      </c>
      <c r="C24" s="78" t="s">
        <v>83</v>
      </c>
      <c r="D24" s="76" t="s">
        <v>84</v>
      </c>
      <c r="E24" s="79" t="s">
        <v>85</v>
      </c>
      <c r="F24" s="6" t="s">
        <v>86</v>
      </c>
      <c r="G24" s="5" t="s">
        <v>27</v>
      </c>
      <c r="H24" s="55" t="s">
        <v>13</v>
      </c>
      <c r="I24" s="125"/>
    </row>
    <row r="25" spans="1:9" ht="26.1">
      <c r="A25" s="4">
        <v>114</v>
      </c>
      <c r="B25" s="3" t="s">
        <v>87</v>
      </c>
      <c r="C25" s="78" t="s">
        <v>83</v>
      </c>
      <c r="D25" s="466" t="s">
        <v>84</v>
      </c>
      <c r="E25" s="79" t="s">
        <v>85</v>
      </c>
      <c r="F25" s="6" t="s">
        <v>86</v>
      </c>
      <c r="G25" s="5" t="s">
        <v>27</v>
      </c>
      <c r="H25" s="113" t="s">
        <v>13</v>
      </c>
      <c r="I25" s="114"/>
    </row>
    <row r="26" spans="1:9" ht="35.25" customHeight="1">
      <c r="A26" s="4">
        <v>133</v>
      </c>
      <c r="B26" s="3" t="s">
        <v>88</v>
      </c>
      <c r="C26" s="78" t="s">
        <v>83</v>
      </c>
      <c r="D26" s="283" t="s">
        <v>89</v>
      </c>
      <c r="E26" s="79" t="s">
        <v>85</v>
      </c>
      <c r="F26" s="6" t="s">
        <v>86</v>
      </c>
      <c r="G26" s="5" t="s">
        <v>27</v>
      </c>
      <c r="H26" s="113" t="s">
        <v>13</v>
      </c>
      <c r="I26" s="114"/>
    </row>
    <row r="27" spans="1:9" ht="26.1">
      <c r="A27" s="4">
        <v>134</v>
      </c>
      <c r="B27" s="3" t="s">
        <v>90</v>
      </c>
      <c r="C27" s="78" t="s">
        <v>83</v>
      </c>
      <c r="D27" s="643" t="s">
        <v>89</v>
      </c>
      <c r="E27" s="79" t="s">
        <v>85</v>
      </c>
      <c r="F27" s="6" t="s">
        <v>86</v>
      </c>
      <c r="G27" s="5" t="s">
        <v>27</v>
      </c>
      <c r="H27" s="113" t="s">
        <v>13</v>
      </c>
      <c r="I27" s="114"/>
    </row>
    <row r="28" spans="1:9" ht="26.1">
      <c r="A28" s="4">
        <v>135</v>
      </c>
      <c r="B28" s="3" t="s">
        <v>91</v>
      </c>
      <c r="C28" s="78" t="s">
        <v>92</v>
      </c>
      <c r="D28" s="112" t="s">
        <v>93</v>
      </c>
      <c r="E28" s="79" t="s">
        <v>85</v>
      </c>
      <c r="F28" s="6" t="s">
        <v>86</v>
      </c>
      <c r="G28" s="5" t="s">
        <v>27</v>
      </c>
      <c r="H28" s="113" t="s">
        <v>13</v>
      </c>
      <c r="I28" s="114"/>
    </row>
    <row r="29" spans="1:9" ht="26.1">
      <c r="A29" s="4">
        <v>137</v>
      </c>
      <c r="B29" s="3" t="s">
        <v>94</v>
      </c>
      <c r="C29" s="77" t="s">
        <v>15</v>
      </c>
      <c r="D29" s="644" t="s">
        <v>95</v>
      </c>
      <c r="E29" s="79" t="s">
        <v>85</v>
      </c>
      <c r="F29" s="3" t="s">
        <v>96</v>
      </c>
      <c r="G29" s="5" t="s">
        <v>27</v>
      </c>
      <c r="H29" s="113" t="s">
        <v>13</v>
      </c>
      <c r="I29" s="114"/>
    </row>
    <row r="30" spans="1:9" ht="26.1">
      <c r="A30" s="4">
        <v>139</v>
      </c>
      <c r="B30" s="3" t="s">
        <v>97</v>
      </c>
      <c r="C30" s="77" t="s">
        <v>15</v>
      </c>
      <c r="D30" s="283" t="s">
        <v>98</v>
      </c>
      <c r="E30" s="79" t="s">
        <v>85</v>
      </c>
      <c r="F30" s="3" t="s">
        <v>96</v>
      </c>
      <c r="G30" s="5" t="s">
        <v>27</v>
      </c>
      <c r="H30" s="113" t="s">
        <v>13</v>
      </c>
      <c r="I30" s="114"/>
    </row>
    <row r="31" spans="1:9" ht="29.1">
      <c r="A31" s="4">
        <v>119</v>
      </c>
      <c r="B31" s="3" t="s">
        <v>99</v>
      </c>
      <c r="C31" s="77" t="s">
        <v>15</v>
      </c>
      <c r="D31" s="115" t="s">
        <v>100</v>
      </c>
      <c r="E31" s="79" t="s">
        <v>101</v>
      </c>
      <c r="F31" s="79" t="s">
        <v>101</v>
      </c>
      <c r="G31" s="6" t="s">
        <v>12</v>
      </c>
      <c r="H31" s="55" t="s">
        <v>13</v>
      </c>
      <c r="I31" s="125"/>
    </row>
    <row r="32" spans="1:9" ht="39">
      <c r="A32" s="4">
        <v>150</v>
      </c>
      <c r="B32" s="3" t="s">
        <v>102</v>
      </c>
      <c r="C32" s="77" t="s">
        <v>68</v>
      </c>
      <c r="D32" s="115" t="s">
        <v>103</v>
      </c>
      <c r="E32" s="3" t="s">
        <v>104</v>
      </c>
      <c r="F32" s="3" t="s">
        <v>104</v>
      </c>
      <c r="G32" s="6" t="s">
        <v>12</v>
      </c>
      <c r="H32" s="55" t="s">
        <v>13</v>
      </c>
      <c r="I32" s="125"/>
    </row>
    <row r="33" spans="1:21" ht="26.1">
      <c r="A33" s="3">
        <v>537</v>
      </c>
      <c r="B33" s="3" t="s">
        <v>105</v>
      </c>
      <c r="C33" s="77" t="s">
        <v>106</v>
      </c>
      <c r="D33" s="165" t="s">
        <v>107</v>
      </c>
      <c r="E33" s="79" t="s">
        <v>108</v>
      </c>
      <c r="F33" s="3" t="s">
        <v>51</v>
      </c>
      <c r="G33" s="5" t="s">
        <v>19</v>
      </c>
      <c r="H33" s="56"/>
      <c r="I33" s="125"/>
    </row>
    <row r="34" spans="1:21" ht="26.1">
      <c r="A34" s="4">
        <v>906</v>
      </c>
      <c r="B34" s="3" t="s">
        <v>109</v>
      </c>
      <c r="C34" s="77" t="s">
        <v>15</v>
      </c>
      <c r="D34" s="76" t="s">
        <v>77</v>
      </c>
      <c r="E34" s="79" t="s">
        <v>42</v>
      </c>
      <c r="F34" s="79" t="s">
        <v>42</v>
      </c>
      <c r="G34" s="6" t="s">
        <v>12</v>
      </c>
      <c r="H34" s="146" t="s">
        <v>13</v>
      </c>
    </row>
    <row r="35" spans="1:21" ht="26.1">
      <c r="A35" s="4">
        <v>907</v>
      </c>
      <c r="B35" s="3" t="s">
        <v>110</v>
      </c>
      <c r="C35" s="77" t="s">
        <v>15</v>
      </c>
      <c r="D35" s="76" t="s">
        <v>77</v>
      </c>
      <c r="E35" s="79" t="s">
        <v>42</v>
      </c>
      <c r="F35" s="79" t="s">
        <v>78</v>
      </c>
      <c r="G35" s="6" t="s">
        <v>12</v>
      </c>
      <c r="H35" s="329" t="s">
        <v>13</v>
      </c>
    </row>
    <row r="36" spans="1:21" ht="26.1">
      <c r="A36" s="4">
        <v>908</v>
      </c>
      <c r="B36" s="3" t="s">
        <v>111</v>
      </c>
      <c r="C36" s="77" t="s">
        <v>15</v>
      </c>
      <c r="D36" s="100" t="s">
        <v>37</v>
      </c>
      <c r="E36" s="79" t="s">
        <v>38</v>
      </c>
      <c r="F36" s="6" t="s">
        <v>39</v>
      </c>
      <c r="G36" s="78" t="s">
        <v>19</v>
      </c>
      <c r="H36" s="76" t="s">
        <v>13</v>
      </c>
    </row>
    <row r="46" spans="1:21">
      <c r="U46" t="s">
        <v>112</v>
      </c>
    </row>
  </sheetData>
  <autoFilter ref="A1:H36" xr:uid="{7E1C0429-5354-48CE-9F2E-AD3C0B29F5D5}"/>
  <hyperlinks>
    <hyperlink ref="H17" location="PLM!A1" display="PLM!A1" xr:uid="{D34EBFD5-0101-4064-B9EB-35847EC28EAA}"/>
    <hyperlink ref="H4" location="Others!A1" display="Others!A1" xr:uid="{94ED9F2E-D251-4FDA-95A4-2FBCDA67FD2C}"/>
    <hyperlink ref="H5" location="Others!A1" display="Others!A1" xr:uid="{E64BECAB-3E21-481C-95B1-26C950905D89}"/>
    <hyperlink ref="H6" location="Others!A1" display="Others!A1" xr:uid="{4F0641C5-67AA-42BD-B76F-468585BE3A49}"/>
    <hyperlink ref="H7" location="Others!A1" display="Others!A1" xr:uid="{4A6F1A66-6F38-4A75-AEAF-EFABEF768159}"/>
    <hyperlink ref="H11" location="Others!A1" display="Others!A1" xr:uid="{52B1B7AA-7FCC-497E-A847-5866B72F1A83}"/>
    <hyperlink ref="H12" location="Others!A1" display="Others!A1" xr:uid="{937696BF-A443-4140-AEB6-0628ADEDD152}"/>
    <hyperlink ref="H9" location="Others!A1" display="Others!A1" xr:uid="{704078F5-0235-4799-993F-90E415A985CD}"/>
    <hyperlink ref="H22" location="Others!A1" display="Others!A1" xr:uid="{6EE1F18F-7589-45E4-AB3D-08F9B82DDAC8}"/>
    <hyperlink ref="H23" location="Others!A1" display="Others!A1" xr:uid="{F8BFA551-5E28-4B3A-ADAB-82A2726EDEFF}"/>
    <hyperlink ref="H31" location="Others!A1" display="Others!A1" xr:uid="{5C63F9C6-8E2E-49F0-98B1-9C8170AD9EF2}"/>
    <hyperlink ref="H32" location="Others!A1" display="Others!A1" xr:uid="{87029866-61AD-4879-834C-A1D260F0AFE5}"/>
    <hyperlink ref="H18" location="PLM!A1" display="PLM!A1" xr:uid="{D05F319C-D2E4-473D-99ED-9C2F6BB894A2}"/>
    <hyperlink ref="H19" location="PLM!A1" display="PLM!A1" xr:uid="{7B32E54B-0B7E-4127-891B-3AC4DFB06A0B}"/>
    <hyperlink ref="H20" location="PLM!A1" display="PLM!A1" xr:uid="{C8DF7E19-1932-425A-8838-3514BB21D70D}"/>
    <hyperlink ref="H15" location="Others!A1" display="Others!A1" xr:uid="{F5F61F06-14A0-4E23-BEAF-251E816974F5}"/>
    <hyperlink ref="H30" location="Others!A1" display="Others!A1" xr:uid="{6F198AFB-78E7-4E6B-B32F-DEFBF325E7C3}"/>
    <hyperlink ref="H29" location="Others!A1" display="Others!A1" xr:uid="{0E6E3C2B-F781-423C-A2CD-1C966BD68859}"/>
    <hyperlink ref="H28" location="Others!A1" display="Others!A1" xr:uid="{ED7EC996-F98B-401A-A99A-EEC217B90935}"/>
    <hyperlink ref="H27" location="Others!A1" display="Others!A1" xr:uid="{59FAFC53-D0EB-407D-95C8-60FC6548E0CF}"/>
    <hyperlink ref="H26" location="Others!A1" display="Others!A1" xr:uid="{9BF813EF-6C2E-4F0C-9555-D38EBCFF451F}"/>
    <hyperlink ref="H25" location="Others!A1" display="Others!A1" xr:uid="{E0635D76-A304-4B0B-A2F0-6C3506B77AA5}"/>
    <hyperlink ref="H16" location="Others!A1" display="Others!A1" xr:uid="{D8EF53A0-A476-420B-A847-9FFC79C3A4D9}"/>
    <hyperlink ref="H14" location="Others!A1" display="Others!A1" xr:uid="{9C0CF7C3-AE5B-4D64-8C58-E863BE6F127B}"/>
    <hyperlink ref="H13" location="Others!A1" display="Others!A1" xr:uid="{D6CD668C-C54A-4E96-9E2D-502E538B5A4E}"/>
    <hyperlink ref="H10" location="Others!A1" display="Others!A1" xr:uid="{7C17F56E-8FC0-405C-A1DB-64727D685C36}"/>
    <hyperlink ref="H3" location="Others!A1" display="Others!A1" xr:uid="{7D96CB50-9F66-4696-91A8-D8D8B91074A8}"/>
    <hyperlink ref="H2" location="Others!A1" display="Others!A1" xr:uid="{86ECBF2A-5901-4311-8685-ECC0E9C6C9A2}"/>
    <hyperlink ref="D2" r:id="rId1" xr:uid="{B70AD9FC-7D06-49EB-AFA7-8F6855213158}"/>
    <hyperlink ref="D18" r:id="rId2" xr:uid="{D148C322-7254-43AE-B118-33B44EE6F7B1}"/>
    <hyperlink ref="D17" r:id="rId3" display="renate.floeser@freseniusmedicalcare.com" xr:uid="{A47FE2EF-A899-4E6B-9310-71D5ED66558D}"/>
    <hyperlink ref="D19" r:id="rId4" xr:uid="{5DCB3A04-D6CA-4D4A-9C73-D5D6394B6815}"/>
    <hyperlink ref="D20" r:id="rId5" xr:uid="{5055207B-5C2B-4942-AA57-9967D5654511}"/>
    <hyperlink ref="D23" r:id="rId6" xr:uid="{43ECF9D6-2A3D-4ABC-99C0-AB73F56B60A6}"/>
    <hyperlink ref="D21" r:id="rId7" xr:uid="{C0A83295-2D6D-4126-BCE3-B9D56421280E}"/>
    <hyperlink ref="D22" r:id="rId8" xr:uid="{FFDAE777-AAE8-42B5-907A-FCCAA40EE3DA}"/>
    <hyperlink ref="H24" location="Others!A1" display="Others!A1" xr:uid="{BA62D8DE-1B9A-4CE9-8E4F-AE534B00CA03}"/>
    <hyperlink ref="D9" r:id="rId9" xr:uid="{9A015B52-A0BB-4EDF-845A-1F7DEFA2B970}"/>
    <hyperlink ref="D10" r:id="rId10" xr:uid="{757C95F6-8D4C-4236-90ED-2BF39B55D4A3}"/>
    <hyperlink ref="D3" r:id="rId11" xr:uid="{AFB05CA5-4B5C-4C4E-8452-5D945C207C24}"/>
    <hyperlink ref="D4" r:id="rId12" xr:uid="{88FE2594-0B09-4C2E-A099-5FDC43782EED}"/>
    <hyperlink ref="D6" r:id="rId13" xr:uid="{EB682CA3-DBF1-4240-9060-BBB156536EAB}"/>
    <hyperlink ref="D7" r:id="rId14" xr:uid="{ECE4209A-38AF-4EB5-BCF2-9198DF74D3F4}"/>
    <hyperlink ref="D11" r:id="rId15" xr:uid="{FCB85978-3C9F-4456-AF63-518B7179AE83}"/>
    <hyperlink ref="D12" r:id="rId16" xr:uid="{674B9046-A63D-475E-A35E-F4B8FEF617E4}"/>
    <hyperlink ref="D13" r:id="rId17" xr:uid="{F8F24742-EB27-44C8-8EDE-91088D6520ED}"/>
    <hyperlink ref="H34" location="Others!A1" display="Others!A1" xr:uid="{548FF288-7AFA-4CA2-BD3F-1E0748623E22}"/>
    <hyperlink ref="D34" r:id="rId18" xr:uid="{B12A9423-553E-4FFC-B23C-4A04C6A8B741}"/>
    <hyperlink ref="H35" location="Others!A1" display="Others!A1" xr:uid="{634EA369-CE7C-460A-BAD6-C094D6D3136B}"/>
    <hyperlink ref="D35" r:id="rId19" xr:uid="{5E1686DE-3322-412E-8541-0CA8A4A4EE0D}"/>
    <hyperlink ref="D8" r:id="rId20" xr:uid="{49206DBB-D581-435A-A8DB-09517E07346A}"/>
    <hyperlink ref="D31" r:id="rId21" display="Helena.Schmitz@freseniusmedicalcare.com" xr:uid="{CCEA9418-60E0-408B-9987-2F054466F9B5}"/>
    <hyperlink ref="D32" r:id="rId22" xr:uid="{90872EEE-B2B0-4AD2-BB37-CED9B5BE3B60}"/>
    <hyperlink ref="D29" r:id="rId23" xr:uid="{D5C664CB-D185-4342-88DF-BEF8251BED79}"/>
    <hyperlink ref="D30" r:id="rId24" xr:uid="{54B9DAA8-FD10-45E4-9A29-9E2E3576222B}"/>
    <hyperlink ref="D26" r:id="rId25" xr:uid="{E1DE9430-797C-45D9-8E89-7D2C88886B65}"/>
    <hyperlink ref="D27" r:id="rId26" xr:uid="{B60B601C-828B-469F-A933-142EE5467577}"/>
    <hyperlink ref="D24" r:id="rId27" xr:uid="{DAD22651-0738-42E3-B970-46C2A36A6848}"/>
    <hyperlink ref="D25" r:id="rId28" xr:uid="{51511DC1-8245-434D-9871-0C4D46AA56EA}"/>
    <hyperlink ref="D28" r:id="rId29" xr:uid="{B9FA5FE6-5831-433F-B1DD-659C67A1E96C}"/>
    <hyperlink ref="D14" r:id="rId30" xr:uid="{44EF5931-BCFB-4FC6-AF6E-A2B3CBEDF029}"/>
    <hyperlink ref="D15" r:id="rId31" xr:uid="{7093FC47-E27E-4F83-9AF7-24321A23DA2E}"/>
    <hyperlink ref="D16" r:id="rId32" xr:uid="{808EE0DF-8FA0-40DE-8847-EA354E7AB81C}"/>
    <hyperlink ref="H8" location="Others!A1" display="Others!A1" xr:uid="{65CF124C-65A0-4EC5-A45D-8A642B8D1138}"/>
    <hyperlink ref="D5" r:id="rId33" xr:uid="{41021D9B-E19D-40E8-AE0B-331F4C2A5B02}"/>
    <hyperlink ref="H36" location="Others!A1" display="Others!A1" xr:uid="{E47A413B-E873-4BEC-BA5C-2966FEBD4F87}"/>
    <hyperlink ref="D36" r:id="rId34" xr:uid="{8C64C12A-36F7-4C1E-9C07-CA815BCF78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36DE-5793-4AD3-A88A-92A73EF24EDF}">
  <dimension ref="A1:W19"/>
  <sheetViews>
    <sheetView zoomScale="85" zoomScaleNormal="85" workbookViewId="0">
      <pane xSplit="3" ySplit="5" topLeftCell="D6" activePane="bottomRight" state="frozen"/>
      <selection pane="bottomRight" activeCell="E11" sqref="E11"/>
      <selection pane="bottomLeft" activeCell="A6" sqref="A6"/>
      <selection pane="topRight" activeCell="C1" sqref="C1"/>
    </sheetView>
  </sheetViews>
  <sheetFormatPr defaultRowHeight="14.45"/>
  <cols>
    <col min="1" max="1" width="19.5703125" bestFit="1" customWidth="1"/>
    <col min="2" max="2" width="10.140625" customWidth="1"/>
    <col min="3" max="3" width="17.7109375" style="241" customWidth="1"/>
    <col min="4" max="4" width="15.85546875" bestFit="1" customWidth="1"/>
    <col min="5" max="5" width="39" bestFit="1" customWidth="1"/>
    <col min="6" max="6" width="8.140625" bestFit="1" customWidth="1"/>
    <col min="7" max="7" width="13.85546875" bestFit="1" customWidth="1"/>
    <col min="8" max="8" width="7" bestFit="1" customWidth="1"/>
    <col min="9" max="9" width="23" bestFit="1" customWidth="1"/>
    <col min="10" max="10" width="43" bestFit="1" customWidth="1"/>
    <col min="11" max="11" width="8.140625" bestFit="1" customWidth="1"/>
    <col min="12" max="12" width="14.85546875" bestFit="1" customWidth="1"/>
    <col min="13" max="13" width="9" bestFit="1" customWidth="1"/>
    <col min="14" max="14" width="15.5703125" bestFit="1" customWidth="1"/>
    <col min="15" max="15" width="37.28515625" bestFit="1" customWidth="1"/>
    <col min="16" max="16" width="8.140625" bestFit="1" customWidth="1"/>
    <col min="17" max="17" width="12.85546875" bestFit="1" customWidth="1"/>
    <col min="18" max="18" width="7" bestFit="1" customWidth="1"/>
    <col min="19" max="19" width="15.85546875" bestFit="1" customWidth="1"/>
    <col min="20" max="20" width="45.85546875" bestFit="1" customWidth="1"/>
    <col min="21" max="21" width="8.140625" bestFit="1" customWidth="1"/>
    <col min="22" max="22" width="13.7109375" customWidth="1"/>
    <col min="23" max="23" width="9" bestFit="1" customWidth="1"/>
  </cols>
  <sheetData>
    <row r="1" spans="1:23" ht="26.45">
      <c r="A1" s="173" t="s">
        <v>113</v>
      </c>
      <c r="B1" s="243" t="s">
        <v>114</v>
      </c>
      <c r="C1" s="232"/>
      <c r="D1" s="761">
        <v>1</v>
      </c>
      <c r="E1" s="762"/>
      <c r="F1" s="762"/>
      <c r="G1" s="762"/>
      <c r="H1" s="763"/>
      <c r="I1" s="761">
        <v>2</v>
      </c>
      <c r="J1" s="762"/>
      <c r="K1" s="762"/>
      <c r="L1" s="762"/>
      <c r="M1" s="763"/>
      <c r="N1" s="761">
        <v>3</v>
      </c>
      <c r="O1" s="762"/>
      <c r="P1" s="762"/>
      <c r="Q1" s="762"/>
      <c r="R1" s="763"/>
      <c r="S1" s="769">
        <v>4</v>
      </c>
      <c r="T1" s="770"/>
      <c r="U1" s="770"/>
      <c r="V1" s="770"/>
      <c r="W1" s="771"/>
    </row>
    <row r="2" spans="1:23">
      <c r="A2" s="174" t="s">
        <v>115</v>
      </c>
      <c r="B2" s="167"/>
      <c r="C2" s="467"/>
      <c r="D2" s="772" t="s">
        <v>116</v>
      </c>
      <c r="E2" s="773"/>
      <c r="F2" s="773"/>
      <c r="G2" s="773"/>
      <c r="H2" s="774"/>
      <c r="I2" s="772" t="s">
        <v>117</v>
      </c>
      <c r="J2" s="773"/>
      <c r="K2" s="773"/>
      <c r="L2" s="773"/>
      <c r="M2" s="774"/>
      <c r="N2" s="772" t="s">
        <v>118</v>
      </c>
      <c r="O2" s="773"/>
      <c r="P2" s="773"/>
      <c r="Q2" s="773"/>
      <c r="R2" s="774"/>
      <c r="S2" s="764" t="s">
        <v>119</v>
      </c>
      <c r="T2" s="765"/>
      <c r="U2" s="765"/>
      <c r="V2" s="765"/>
      <c r="W2" s="766"/>
    </row>
    <row r="3" spans="1:23">
      <c r="A3" s="175" t="s">
        <v>120</v>
      </c>
      <c r="B3" s="168"/>
      <c r="C3" s="468"/>
      <c r="D3" s="755" t="s">
        <v>121</v>
      </c>
      <c r="E3" s="756"/>
      <c r="F3" s="756"/>
      <c r="G3" s="756"/>
      <c r="H3" s="757"/>
      <c r="I3" s="755" t="s">
        <v>122</v>
      </c>
      <c r="J3" s="756"/>
      <c r="K3" s="756"/>
      <c r="L3" s="756"/>
      <c r="M3" s="757"/>
      <c r="N3" s="755" t="s">
        <v>123</v>
      </c>
      <c r="O3" s="756"/>
      <c r="P3" s="756"/>
      <c r="Q3" s="756"/>
      <c r="R3" s="757"/>
      <c r="S3" s="755" t="s">
        <v>124</v>
      </c>
      <c r="T3" s="756"/>
      <c r="U3" s="756"/>
      <c r="V3" s="756"/>
      <c r="W3" s="767"/>
    </row>
    <row r="4" spans="1:23">
      <c r="A4" s="176" t="s">
        <v>125</v>
      </c>
      <c r="B4" s="166"/>
      <c r="C4" s="469"/>
      <c r="D4" s="758" t="s">
        <v>126</v>
      </c>
      <c r="E4" s="759"/>
      <c r="F4" s="759"/>
      <c r="G4" s="759"/>
      <c r="H4" s="760"/>
      <c r="I4" s="758" t="s">
        <v>127</v>
      </c>
      <c r="J4" s="759"/>
      <c r="K4" s="759"/>
      <c r="L4" s="759"/>
      <c r="M4" s="760"/>
      <c r="N4" s="758" t="s">
        <v>128</v>
      </c>
      <c r="O4" s="759"/>
      <c r="P4" s="759"/>
      <c r="Q4" s="759"/>
      <c r="R4" s="760"/>
      <c r="S4" s="758" t="s">
        <v>129</v>
      </c>
      <c r="T4" s="759"/>
      <c r="U4" s="759"/>
      <c r="V4" s="759"/>
      <c r="W4" s="768"/>
    </row>
    <row r="5" spans="1:23">
      <c r="A5" s="189" t="s">
        <v>130</v>
      </c>
      <c r="B5" s="190"/>
      <c r="C5" s="233"/>
      <c r="D5" s="191" t="s">
        <v>131</v>
      </c>
      <c r="E5" s="192" t="s">
        <v>132</v>
      </c>
      <c r="F5" s="192" t="s">
        <v>133</v>
      </c>
      <c r="G5" s="192" t="s">
        <v>134</v>
      </c>
      <c r="H5" s="193" t="s">
        <v>135</v>
      </c>
      <c r="I5" s="191" t="s">
        <v>131</v>
      </c>
      <c r="J5" s="192" t="s">
        <v>132</v>
      </c>
      <c r="K5" s="192" t="s">
        <v>133</v>
      </c>
      <c r="L5" s="192" t="s">
        <v>134</v>
      </c>
      <c r="M5" s="193" t="s">
        <v>135</v>
      </c>
      <c r="N5" s="191" t="s">
        <v>131</v>
      </c>
      <c r="O5" s="192" t="s">
        <v>132</v>
      </c>
      <c r="P5" s="192" t="s">
        <v>133</v>
      </c>
      <c r="Q5" s="192" t="s">
        <v>134</v>
      </c>
      <c r="R5" s="193" t="s">
        <v>135</v>
      </c>
      <c r="S5" s="191" t="s">
        <v>131</v>
      </c>
      <c r="T5" s="192" t="s">
        <v>132</v>
      </c>
      <c r="U5" s="192" t="s">
        <v>133</v>
      </c>
      <c r="V5" s="192" t="s">
        <v>134</v>
      </c>
      <c r="W5" s="194" t="s">
        <v>135</v>
      </c>
    </row>
    <row r="6" spans="1:23">
      <c r="A6" s="242" t="s">
        <v>58</v>
      </c>
      <c r="B6" s="470" t="s">
        <v>136</v>
      </c>
      <c r="C6" s="188" t="s">
        <v>137</v>
      </c>
      <c r="D6" s="471" t="s">
        <v>138</v>
      </c>
      <c r="E6" s="471" t="s">
        <v>139</v>
      </c>
      <c r="F6" s="472">
        <v>2261768</v>
      </c>
      <c r="G6" s="472" t="s">
        <v>140</v>
      </c>
      <c r="H6" s="473" t="s">
        <v>141</v>
      </c>
      <c r="I6" s="474" t="s">
        <v>142</v>
      </c>
      <c r="J6" s="475" t="s">
        <v>143</v>
      </c>
      <c r="K6" s="475">
        <v>696947</v>
      </c>
      <c r="L6" s="472" t="s">
        <v>144</v>
      </c>
      <c r="M6" s="473" t="s">
        <v>141</v>
      </c>
      <c r="N6" s="474" t="s">
        <v>145</v>
      </c>
      <c r="O6" s="475" t="s">
        <v>146</v>
      </c>
      <c r="P6" s="472">
        <v>2068067</v>
      </c>
      <c r="Q6" s="472" t="s">
        <v>147</v>
      </c>
      <c r="R6" s="473" t="s">
        <v>141</v>
      </c>
      <c r="S6" s="476" t="s">
        <v>148</v>
      </c>
      <c r="T6" s="473" t="s">
        <v>149</v>
      </c>
      <c r="U6" s="473">
        <v>470861</v>
      </c>
      <c r="V6" s="473" t="s">
        <v>150</v>
      </c>
      <c r="W6" s="477" t="s">
        <v>141</v>
      </c>
    </row>
    <row r="7" spans="1:23">
      <c r="A7" s="202" t="s">
        <v>58</v>
      </c>
      <c r="B7" s="203"/>
      <c r="C7" s="204"/>
      <c r="D7" s="478"/>
      <c r="E7" s="479"/>
      <c r="F7" s="479"/>
      <c r="G7" s="479"/>
      <c r="H7" s="480"/>
      <c r="I7" s="481" t="s">
        <v>151</v>
      </c>
      <c r="J7" s="482" t="s">
        <v>152</v>
      </c>
      <c r="K7" s="482">
        <v>2262064</v>
      </c>
      <c r="L7" s="479" t="s">
        <v>153</v>
      </c>
      <c r="M7" s="480" t="s">
        <v>141</v>
      </c>
      <c r="N7" s="476" t="s">
        <v>148</v>
      </c>
      <c r="O7" s="473" t="s">
        <v>149</v>
      </c>
      <c r="P7" s="473">
        <v>470861</v>
      </c>
      <c r="Q7" s="473" t="s">
        <v>150</v>
      </c>
      <c r="R7" s="477" t="s">
        <v>141</v>
      </c>
      <c r="S7" s="474" t="s">
        <v>145</v>
      </c>
      <c r="T7" s="475" t="s">
        <v>146</v>
      </c>
      <c r="U7" s="472">
        <v>2068067</v>
      </c>
      <c r="V7" s="472" t="s">
        <v>147</v>
      </c>
      <c r="W7" s="473" t="s">
        <v>141</v>
      </c>
    </row>
    <row r="8" spans="1:23">
      <c r="A8" s="195" t="s">
        <v>154</v>
      </c>
      <c r="B8" s="196" t="s">
        <v>136</v>
      </c>
      <c r="C8" s="234" t="s">
        <v>155</v>
      </c>
      <c r="D8" s="197" t="s">
        <v>156</v>
      </c>
      <c r="E8" s="196" t="s">
        <v>157</v>
      </c>
      <c r="F8" s="196">
        <v>2428440</v>
      </c>
      <c r="G8" s="196" t="s">
        <v>158</v>
      </c>
      <c r="H8" s="198" t="s">
        <v>141</v>
      </c>
      <c r="I8" s="213" t="s">
        <v>159</v>
      </c>
      <c r="J8" s="214" t="s">
        <v>160</v>
      </c>
      <c r="K8" s="214">
        <v>2228647</v>
      </c>
      <c r="L8" s="214" t="s">
        <v>161</v>
      </c>
      <c r="M8" s="217" t="s">
        <v>141</v>
      </c>
      <c r="N8" s="199" t="s">
        <v>145</v>
      </c>
      <c r="O8" s="200" t="s">
        <v>146</v>
      </c>
      <c r="P8" s="196">
        <v>2068067</v>
      </c>
      <c r="Q8" s="196" t="s">
        <v>147</v>
      </c>
      <c r="R8" s="198" t="s">
        <v>141</v>
      </c>
      <c r="S8" s="199" t="s">
        <v>148</v>
      </c>
      <c r="T8" s="200" t="s">
        <v>149</v>
      </c>
      <c r="U8" s="200">
        <v>470861</v>
      </c>
      <c r="V8" s="196" t="s">
        <v>150</v>
      </c>
      <c r="W8" s="201" t="s">
        <v>141</v>
      </c>
    </row>
    <row r="9" spans="1:23" ht="15" thickBot="1">
      <c r="A9" s="211" t="s">
        <v>154</v>
      </c>
      <c r="B9" s="212"/>
      <c r="C9" s="235"/>
      <c r="D9" s="213"/>
      <c r="E9" s="214"/>
      <c r="F9" s="215"/>
      <c r="G9" s="214"/>
      <c r="H9" s="216"/>
      <c r="I9" s="213" t="s">
        <v>162</v>
      </c>
      <c r="J9" s="214" t="s">
        <v>163</v>
      </c>
      <c r="K9" s="214">
        <v>2096374</v>
      </c>
      <c r="L9" s="214" t="s">
        <v>164</v>
      </c>
      <c r="M9" s="217" t="s">
        <v>141</v>
      </c>
      <c r="N9" s="213" t="s">
        <v>148</v>
      </c>
      <c r="O9" s="214" t="s">
        <v>149</v>
      </c>
      <c r="P9" s="214">
        <v>470861</v>
      </c>
      <c r="Q9" s="214" t="s">
        <v>150</v>
      </c>
      <c r="R9" s="216" t="s">
        <v>141</v>
      </c>
      <c r="S9" s="213" t="s">
        <v>145</v>
      </c>
      <c r="T9" s="214" t="s">
        <v>146</v>
      </c>
      <c r="U9" s="214">
        <v>2068067</v>
      </c>
      <c r="V9" s="214" t="s">
        <v>147</v>
      </c>
      <c r="W9" s="217" t="s">
        <v>141</v>
      </c>
    </row>
    <row r="10" spans="1:23">
      <c r="A10" s="594" t="s">
        <v>165</v>
      </c>
      <c r="B10" s="206" t="s">
        <v>136</v>
      </c>
      <c r="C10" s="236" t="s">
        <v>166</v>
      </c>
      <c r="D10" s="207" t="s">
        <v>156</v>
      </c>
      <c r="E10" s="206" t="s">
        <v>157</v>
      </c>
      <c r="F10" s="208">
        <v>2428440</v>
      </c>
      <c r="G10" s="206" t="s">
        <v>158</v>
      </c>
      <c r="H10" s="209" t="s">
        <v>141</v>
      </c>
      <c r="I10" s="183" t="s">
        <v>167</v>
      </c>
      <c r="J10" s="170" t="s">
        <v>168</v>
      </c>
      <c r="K10" s="171">
        <v>2458610</v>
      </c>
      <c r="L10" s="170" t="s">
        <v>169</v>
      </c>
      <c r="M10" s="186" t="s">
        <v>141</v>
      </c>
      <c r="N10" s="207" t="s">
        <v>145</v>
      </c>
      <c r="O10" s="206" t="s">
        <v>146</v>
      </c>
      <c r="P10" s="206">
        <v>2068067</v>
      </c>
      <c r="Q10" s="206" t="s">
        <v>147</v>
      </c>
      <c r="R10" s="210" t="s">
        <v>141</v>
      </c>
      <c r="S10" s="309" t="s">
        <v>148</v>
      </c>
      <c r="T10" s="209" t="s">
        <v>149</v>
      </c>
      <c r="U10" s="209">
        <v>470861</v>
      </c>
      <c r="V10" s="209" t="s">
        <v>150</v>
      </c>
      <c r="W10" s="210" t="s">
        <v>141</v>
      </c>
    </row>
    <row r="11" spans="1:23">
      <c r="A11" s="177" t="s">
        <v>170</v>
      </c>
      <c r="B11" s="169"/>
      <c r="C11" s="237"/>
      <c r="D11" s="183"/>
      <c r="E11" s="172"/>
      <c r="F11" s="171"/>
      <c r="G11" s="170"/>
      <c r="H11" s="186"/>
      <c r="I11" s="183" t="s">
        <v>171</v>
      </c>
      <c r="J11" s="170" t="s">
        <v>172</v>
      </c>
      <c r="K11" s="171">
        <v>2134110</v>
      </c>
      <c r="L11" s="170" t="s">
        <v>173</v>
      </c>
      <c r="M11" s="186" t="s">
        <v>141</v>
      </c>
      <c r="N11" s="184" t="s">
        <v>148</v>
      </c>
      <c r="O11" s="170" t="s">
        <v>149</v>
      </c>
      <c r="P11" s="170">
        <v>470861</v>
      </c>
      <c r="Q11" s="170" t="s">
        <v>150</v>
      </c>
      <c r="R11" s="178" t="s">
        <v>141</v>
      </c>
      <c r="S11" s="310" t="s">
        <v>145</v>
      </c>
      <c r="T11" s="170" t="s">
        <v>146</v>
      </c>
      <c r="U11" s="170">
        <v>2068067</v>
      </c>
      <c r="V11" s="170" t="s">
        <v>147</v>
      </c>
      <c r="W11" s="178" t="s">
        <v>141</v>
      </c>
    </row>
    <row r="12" spans="1:23">
      <c r="A12" s="225" t="s">
        <v>170</v>
      </c>
      <c r="B12" s="226"/>
      <c r="C12" s="238"/>
      <c r="D12" s="227"/>
      <c r="E12" s="228"/>
      <c r="F12" s="229"/>
      <c r="G12" s="228"/>
      <c r="H12" s="230"/>
      <c r="I12" s="183" t="s">
        <v>174</v>
      </c>
      <c r="J12" s="170" t="s">
        <v>175</v>
      </c>
      <c r="K12" s="171">
        <v>2177684</v>
      </c>
      <c r="L12" s="170" t="s">
        <v>176</v>
      </c>
      <c r="M12" s="186" t="s">
        <v>141</v>
      </c>
      <c r="N12" s="529" t="s">
        <v>177</v>
      </c>
      <c r="O12" s="530" t="s">
        <v>178</v>
      </c>
      <c r="P12" s="531">
        <v>2459296</v>
      </c>
      <c r="Q12" s="530" t="s">
        <v>179</v>
      </c>
      <c r="R12" s="532" t="s">
        <v>141</v>
      </c>
      <c r="S12" s="529" t="s">
        <v>177</v>
      </c>
      <c r="T12" s="530" t="s">
        <v>178</v>
      </c>
      <c r="U12" s="531">
        <v>2459296</v>
      </c>
      <c r="V12" s="530" t="s">
        <v>179</v>
      </c>
      <c r="W12" s="532" t="s">
        <v>141</v>
      </c>
    </row>
    <row r="13" spans="1:23">
      <c r="A13" s="177" t="s">
        <v>170</v>
      </c>
      <c r="B13" s="169"/>
      <c r="C13" s="237"/>
      <c r="D13" s="183"/>
      <c r="E13" s="170"/>
      <c r="F13" s="171"/>
      <c r="G13" s="170"/>
      <c r="H13" s="186"/>
      <c r="I13" s="183" t="s">
        <v>180</v>
      </c>
      <c r="J13" s="170" t="s">
        <v>181</v>
      </c>
      <c r="K13" s="171"/>
      <c r="L13" s="170" t="s">
        <v>182</v>
      </c>
      <c r="M13" s="186" t="s">
        <v>141</v>
      </c>
      <c r="N13" s="184"/>
      <c r="O13" s="170"/>
      <c r="P13" s="170"/>
      <c r="Q13" s="170"/>
      <c r="R13" s="178"/>
      <c r="S13" s="310"/>
      <c r="T13" s="170"/>
      <c r="U13" s="170"/>
      <c r="V13" s="170"/>
      <c r="W13" s="178"/>
    </row>
    <row r="14" spans="1:23">
      <c r="A14" s="177" t="s">
        <v>170</v>
      </c>
      <c r="B14" s="169"/>
      <c r="C14" s="237"/>
      <c r="D14" s="184"/>
      <c r="E14" s="170"/>
      <c r="F14" s="171"/>
      <c r="G14" s="170"/>
      <c r="H14" s="186"/>
      <c r="I14" s="183" t="s">
        <v>183</v>
      </c>
      <c r="J14" s="170" t="s">
        <v>184</v>
      </c>
      <c r="K14" s="171">
        <v>2469233</v>
      </c>
      <c r="L14" s="170" t="s">
        <v>185</v>
      </c>
      <c r="M14" s="186" t="s">
        <v>141</v>
      </c>
      <c r="N14" s="184"/>
      <c r="O14" s="170"/>
      <c r="P14" s="170"/>
      <c r="Q14" s="170"/>
      <c r="R14" s="178"/>
      <c r="S14" s="310"/>
      <c r="T14" s="170"/>
      <c r="U14" s="170"/>
      <c r="V14" s="170"/>
      <c r="W14" s="178"/>
    </row>
    <row r="15" spans="1:23">
      <c r="A15" s="177" t="s">
        <v>165</v>
      </c>
      <c r="B15" s="169"/>
      <c r="C15" s="237"/>
      <c r="D15" s="183"/>
      <c r="E15" s="172"/>
      <c r="F15" s="171"/>
      <c r="G15" s="170"/>
      <c r="H15" s="186"/>
      <c r="I15" s="184" t="s">
        <v>186</v>
      </c>
      <c r="J15" s="170" t="s">
        <v>187</v>
      </c>
      <c r="K15" s="171">
        <v>2425958</v>
      </c>
      <c r="L15" s="170" t="s">
        <v>188</v>
      </c>
      <c r="M15" s="186" t="s">
        <v>141</v>
      </c>
      <c r="N15" s="184"/>
      <c r="O15" s="170"/>
      <c r="P15" s="170"/>
      <c r="Q15" s="170"/>
      <c r="R15" s="178"/>
      <c r="S15" s="310"/>
      <c r="T15" s="170"/>
      <c r="U15" s="170"/>
      <c r="V15" s="170"/>
      <c r="W15" s="178"/>
    </row>
    <row r="16" spans="1:23">
      <c r="A16" s="177" t="s">
        <v>170</v>
      </c>
      <c r="B16" s="169"/>
      <c r="C16" s="237"/>
      <c r="D16" s="184"/>
      <c r="E16" s="170"/>
      <c r="F16" s="171"/>
      <c r="G16" s="170"/>
      <c r="H16" s="186"/>
      <c r="I16" s="184" t="s">
        <v>189</v>
      </c>
      <c r="J16" s="170" t="s">
        <v>190</v>
      </c>
      <c r="K16" s="171">
        <v>2425983</v>
      </c>
      <c r="L16" s="170" t="s">
        <v>191</v>
      </c>
      <c r="M16" s="186" t="s">
        <v>141</v>
      </c>
      <c r="N16" s="184"/>
      <c r="O16" s="170"/>
      <c r="P16" s="170"/>
      <c r="Q16" s="170"/>
      <c r="R16" s="178"/>
      <c r="S16" s="310"/>
      <c r="T16" s="170"/>
      <c r="U16" s="170"/>
      <c r="V16" s="170"/>
      <c r="W16" s="178"/>
    </row>
    <row r="17" spans="1:23" ht="15" thickBot="1">
      <c r="A17" s="177" t="s">
        <v>170</v>
      </c>
      <c r="B17" s="169"/>
      <c r="C17" s="237"/>
      <c r="D17" s="184"/>
      <c r="E17" s="170"/>
      <c r="F17" s="171"/>
      <c r="G17" s="170"/>
      <c r="H17" s="186"/>
      <c r="I17" s="184" t="s">
        <v>192</v>
      </c>
      <c r="J17" s="170" t="s">
        <v>193</v>
      </c>
      <c r="K17" s="171"/>
      <c r="L17" s="170" t="s">
        <v>194</v>
      </c>
      <c r="M17" s="186" t="s">
        <v>141</v>
      </c>
      <c r="N17" s="227"/>
      <c r="O17" s="228"/>
      <c r="P17" s="228"/>
      <c r="Q17" s="228"/>
      <c r="R17" s="231"/>
      <c r="S17" s="311"/>
      <c r="T17" s="228"/>
      <c r="U17" s="228"/>
      <c r="V17" s="228"/>
      <c r="W17" s="231"/>
    </row>
    <row r="18" spans="1:23">
      <c r="A18" s="218" t="s">
        <v>195</v>
      </c>
      <c r="B18" s="219" t="s">
        <v>136</v>
      </c>
      <c r="C18" s="239" t="s">
        <v>196</v>
      </c>
      <c r="D18" s="220" t="s">
        <v>197</v>
      </c>
      <c r="E18" s="221" t="s">
        <v>198</v>
      </c>
      <c r="F18" s="221">
        <v>2261809</v>
      </c>
      <c r="G18" s="221" t="s">
        <v>199</v>
      </c>
      <c r="H18" s="222" t="s">
        <v>141</v>
      </c>
      <c r="I18" s="315" t="s">
        <v>200</v>
      </c>
      <c r="J18" s="316" t="s">
        <v>201</v>
      </c>
      <c r="K18" s="316">
        <v>2276700</v>
      </c>
      <c r="L18" s="316" t="s">
        <v>202</v>
      </c>
      <c r="M18" s="313" t="s">
        <v>141</v>
      </c>
      <c r="N18" s="315" t="s">
        <v>145</v>
      </c>
      <c r="O18" s="316" t="s">
        <v>146</v>
      </c>
      <c r="P18" s="316">
        <v>2068067</v>
      </c>
      <c r="Q18" s="316" t="s">
        <v>147</v>
      </c>
      <c r="R18" s="313" t="s">
        <v>141</v>
      </c>
      <c r="S18" s="312" t="s">
        <v>148</v>
      </c>
      <c r="T18" s="313" t="s">
        <v>149</v>
      </c>
      <c r="U18" s="313">
        <v>470861</v>
      </c>
      <c r="V18" s="313" t="s">
        <v>150</v>
      </c>
      <c r="W18" s="314" t="s">
        <v>141</v>
      </c>
    </row>
    <row r="19" spans="1:23">
      <c r="A19" s="179" t="s">
        <v>195</v>
      </c>
      <c r="B19" s="180"/>
      <c r="C19" s="240"/>
      <c r="D19" s="185"/>
      <c r="E19" s="223"/>
      <c r="F19" s="181"/>
      <c r="G19" s="181"/>
      <c r="H19" s="187"/>
      <c r="I19" s="185" t="s">
        <v>203</v>
      </c>
      <c r="J19" s="181" t="s">
        <v>204</v>
      </c>
      <c r="K19" s="181">
        <v>2436313</v>
      </c>
      <c r="L19" s="224" t="s">
        <v>205</v>
      </c>
      <c r="M19" s="187" t="s">
        <v>141</v>
      </c>
      <c r="N19" s="185" t="s">
        <v>148</v>
      </c>
      <c r="O19" s="181" t="s">
        <v>149</v>
      </c>
      <c r="P19" s="181">
        <v>470861</v>
      </c>
      <c r="Q19" s="181" t="s">
        <v>150</v>
      </c>
      <c r="R19" s="187" t="s">
        <v>141</v>
      </c>
      <c r="S19" s="185" t="s">
        <v>145</v>
      </c>
      <c r="T19" s="181" t="s">
        <v>146</v>
      </c>
      <c r="U19" s="181">
        <v>2068067</v>
      </c>
      <c r="V19" s="181" t="s">
        <v>147</v>
      </c>
      <c r="W19" s="182" t="s">
        <v>141</v>
      </c>
    </row>
  </sheetData>
  <mergeCells count="16">
    <mergeCell ref="D3:H3"/>
    <mergeCell ref="D4:H4"/>
    <mergeCell ref="D1:H1"/>
    <mergeCell ref="S2:W2"/>
    <mergeCell ref="S3:W3"/>
    <mergeCell ref="S4:W4"/>
    <mergeCell ref="I3:M3"/>
    <mergeCell ref="I4:M4"/>
    <mergeCell ref="N3:R3"/>
    <mergeCell ref="N4:R4"/>
    <mergeCell ref="S1:W1"/>
    <mergeCell ref="I1:M1"/>
    <mergeCell ref="N1:R1"/>
    <mergeCell ref="D2:H2"/>
    <mergeCell ref="I2:M2"/>
    <mergeCell ref="N2:R2"/>
  </mergeCells>
  <hyperlinks>
    <hyperlink ref="E18" r:id="rId1" xr:uid="{B2D783FC-7182-4D68-9536-E7FB27E9D2C1}"/>
    <hyperlink ref="O6" r:id="rId2" xr:uid="{6E24343A-9F5D-402D-BC3F-650FD6236CEA}"/>
    <hyperlink ref="J11" r:id="rId3" xr:uid="{F62073E5-26ED-41BF-9CF7-D5A4D5EE30DE}"/>
    <hyperlink ref="O8" r:id="rId4" xr:uid="{7B4CACB8-5C8D-4291-8532-3207830CE2AB}"/>
    <hyperlink ref="J6" r:id="rId5" xr:uid="{421BC80D-BF47-4114-B611-9D24199CEB82}"/>
    <hyperlink ref="J19" r:id="rId6" xr:uid="{DF8F53D0-52E0-4CB3-8906-94A8DE0E8AC7}"/>
    <hyperlink ref="J12" r:id="rId7" xr:uid="{DB042146-94D9-49E9-964F-2D96CEA7C1E7}"/>
    <hyperlink ref="J15" r:id="rId8" xr:uid="{6881C737-685F-432A-9CA0-B6EE75487142}"/>
    <hyperlink ref="T6" r:id="rId9" xr:uid="{AC254D76-54F8-41E7-8EE7-36FD2EDF9803}"/>
    <hyperlink ref="J14" r:id="rId10" xr:uid="{C2B94459-09B9-46D4-9C0B-2856658A2776}"/>
    <hyperlink ref="O7" r:id="rId11" xr:uid="{9293C7E1-32D8-41AA-AA9A-B054D946D494}"/>
    <hyperlink ref="T7" r:id="rId12" xr:uid="{7857843D-CCAC-478C-99BD-99EF82EF3314}"/>
    <hyperlink ref="J10" r:id="rId13" display="mailto:spoorthy.hr1@freseniusmedicalcare.com" xr:uid="{F7B82470-24FC-43C0-82ED-9CB5A416D938}"/>
    <hyperlink ref="J17" r:id="rId14" xr:uid="{F5558B9D-DC70-4CFA-843C-155E9B507A10}"/>
    <hyperlink ref="O12" r:id="rId15" display="mailto:sakshirajshekhar.bhuse@freseniusmedicalcare.com" xr:uid="{103AADEF-46FD-4836-875D-21CF52D7C690}"/>
    <hyperlink ref="T12" r:id="rId16" display="mailto:sakshirajshekhar.bhuse@freseniusmedicalcare.com" xr:uid="{066CD608-255A-42A0-B860-576F541D787C}"/>
    <hyperlink ref="J13" r:id="rId17" display="mailto:gouravkumar.patnaik@freseniusmedicalcare.com" xr:uid="{49BE78BD-C47E-4D3D-A591-BC97E20D4C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C2AB-3FC5-4CC1-8B11-85BF32F26A8D}">
  <dimension ref="A1:W13"/>
  <sheetViews>
    <sheetView topLeftCell="J1" workbookViewId="0">
      <selection activeCell="S7" sqref="S7:W7"/>
    </sheetView>
  </sheetViews>
  <sheetFormatPr defaultRowHeight="14.45"/>
  <cols>
    <col min="1" max="1" width="19.5703125" bestFit="1" customWidth="1"/>
    <col min="3" max="3" width="15.7109375" bestFit="1" customWidth="1"/>
    <col min="4" max="4" width="13.5703125" bestFit="1" customWidth="1"/>
    <col min="5" max="5" width="43.5703125" bestFit="1" customWidth="1"/>
    <col min="6" max="6" width="8.140625" bestFit="1" customWidth="1"/>
    <col min="7" max="7" width="13.85546875" bestFit="1" customWidth="1"/>
    <col min="8" max="8" width="7" bestFit="1" customWidth="1"/>
    <col min="9" max="9" width="14.28515625" bestFit="1" customWidth="1"/>
    <col min="10" max="10" width="47.42578125" bestFit="1" customWidth="1"/>
    <col min="11" max="11" width="8.140625" bestFit="1" customWidth="1"/>
    <col min="12" max="12" width="14.85546875" bestFit="1" customWidth="1"/>
    <col min="13" max="13" width="7" bestFit="1" customWidth="1"/>
    <col min="14" max="14" width="15.85546875" bestFit="1" customWidth="1"/>
    <col min="15" max="15" width="43" bestFit="1" customWidth="1"/>
    <col min="16" max="16" width="8.140625" bestFit="1" customWidth="1"/>
    <col min="17" max="17" width="14.28515625" bestFit="1" customWidth="1"/>
    <col min="18" max="18" width="7" bestFit="1" customWidth="1"/>
    <col min="19" max="19" width="15.85546875" bestFit="1" customWidth="1"/>
    <col min="20" max="20" width="43" bestFit="1" customWidth="1"/>
    <col min="21" max="21" width="8.140625" bestFit="1" customWidth="1"/>
    <col min="22" max="22" width="14.28515625" bestFit="1" customWidth="1"/>
    <col min="23" max="23" width="7" bestFit="1" customWidth="1"/>
  </cols>
  <sheetData>
    <row r="1" spans="1:23" ht="26.45">
      <c r="A1" s="173" t="s">
        <v>113</v>
      </c>
      <c r="B1" s="338" t="s">
        <v>114</v>
      </c>
      <c r="C1" s="339" t="s">
        <v>206</v>
      </c>
      <c r="D1" s="840">
        <v>1</v>
      </c>
      <c r="E1" s="841"/>
      <c r="F1" s="841"/>
      <c r="G1" s="841"/>
      <c r="H1" s="842"/>
      <c r="I1" s="840">
        <v>2</v>
      </c>
      <c r="J1" s="841"/>
      <c r="K1" s="841"/>
      <c r="L1" s="841"/>
      <c r="M1" s="842"/>
      <c r="N1" s="840">
        <v>3</v>
      </c>
      <c r="O1" s="841"/>
      <c r="P1" s="841"/>
      <c r="Q1" s="841"/>
      <c r="R1" s="842"/>
      <c r="S1" s="843">
        <v>4</v>
      </c>
      <c r="T1" s="844"/>
      <c r="U1" s="844"/>
      <c r="V1" s="844"/>
      <c r="W1" s="845"/>
    </row>
    <row r="2" spans="1:23">
      <c r="A2" s="340" t="s">
        <v>115</v>
      </c>
      <c r="B2" s="341" t="s">
        <v>206</v>
      </c>
      <c r="C2" s="342" t="s">
        <v>206</v>
      </c>
      <c r="D2" s="846" t="s">
        <v>116</v>
      </c>
      <c r="E2" s="847"/>
      <c r="F2" s="847"/>
      <c r="G2" s="847"/>
      <c r="H2" s="848"/>
      <c r="I2" s="846" t="s">
        <v>117</v>
      </c>
      <c r="J2" s="847"/>
      <c r="K2" s="847"/>
      <c r="L2" s="847"/>
      <c r="M2" s="848"/>
      <c r="N2" s="846" t="s">
        <v>118</v>
      </c>
      <c r="O2" s="847"/>
      <c r="P2" s="847"/>
      <c r="Q2" s="847"/>
      <c r="R2" s="848"/>
      <c r="S2" s="849" t="s">
        <v>119</v>
      </c>
      <c r="T2" s="850"/>
      <c r="U2" s="850"/>
      <c r="V2" s="850"/>
      <c r="W2" s="851"/>
    </row>
    <row r="3" spans="1:23">
      <c r="A3" s="343" t="s">
        <v>120</v>
      </c>
      <c r="B3" s="344" t="s">
        <v>206</v>
      </c>
      <c r="C3" s="345" t="s">
        <v>206</v>
      </c>
      <c r="D3" s="852" t="s">
        <v>121</v>
      </c>
      <c r="E3" s="853"/>
      <c r="F3" s="853"/>
      <c r="G3" s="853"/>
      <c r="H3" s="854"/>
      <c r="I3" s="852" t="s">
        <v>122</v>
      </c>
      <c r="J3" s="853"/>
      <c r="K3" s="853"/>
      <c r="L3" s="853"/>
      <c r="M3" s="854"/>
      <c r="N3" s="852" t="s">
        <v>123</v>
      </c>
      <c r="O3" s="853"/>
      <c r="P3" s="853"/>
      <c r="Q3" s="853"/>
      <c r="R3" s="854"/>
      <c r="S3" s="852" t="s">
        <v>124</v>
      </c>
      <c r="T3" s="853"/>
      <c r="U3" s="853"/>
      <c r="V3" s="853"/>
      <c r="W3" s="855"/>
    </row>
    <row r="4" spans="1:23">
      <c r="A4" s="346" t="s">
        <v>125</v>
      </c>
      <c r="B4" s="347" t="s">
        <v>206</v>
      </c>
      <c r="C4" s="348" t="s">
        <v>206</v>
      </c>
      <c r="D4" s="856" t="s">
        <v>126</v>
      </c>
      <c r="E4" s="857"/>
      <c r="F4" s="857"/>
      <c r="G4" s="857"/>
      <c r="H4" s="858"/>
      <c r="I4" s="856" t="s">
        <v>127</v>
      </c>
      <c r="J4" s="857"/>
      <c r="K4" s="857"/>
      <c r="L4" s="857"/>
      <c r="M4" s="858"/>
      <c r="N4" s="856" t="s">
        <v>128</v>
      </c>
      <c r="O4" s="857"/>
      <c r="P4" s="857"/>
      <c r="Q4" s="857"/>
      <c r="R4" s="858"/>
      <c r="S4" s="856" t="s">
        <v>129</v>
      </c>
      <c r="T4" s="857"/>
      <c r="U4" s="857"/>
      <c r="V4" s="857"/>
      <c r="W4" s="859"/>
    </row>
    <row r="5" spans="1:23">
      <c r="A5" s="349" t="s">
        <v>130</v>
      </c>
      <c r="B5" s="350" t="s">
        <v>206</v>
      </c>
      <c r="C5" s="351" t="s">
        <v>206</v>
      </c>
      <c r="D5" s="349" t="s">
        <v>131</v>
      </c>
      <c r="E5" s="350" t="s">
        <v>132</v>
      </c>
      <c r="F5" s="350" t="s">
        <v>133</v>
      </c>
      <c r="G5" s="350" t="s">
        <v>134</v>
      </c>
      <c r="H5" s="352" t="s">
        <v>135</v>
      </c>
      <c r="I5" s="349" t="s">
        <v>131</v>
      </c>
      <c r="J5" s="350" t="s">
        <v>132</v>
      </c>
      <c r="K5" s="350" t="s">
        <v>133</v>
      </c>
      <c r="L5" s="350" t="s">
        <v>134</v>
      </c>
      <c r="M5" s="352" t="s">
        <v>135</v>
      </c>
      <c r="N5" s="349" t="s">
        <v>131</v>
      </c>
      <c r="O5" s="350" t="s">
        <v>132</v>
      </c>
      <c r="P5" s="350" t="s">
        <v>133</v>
      </c>
      <c r="Q5" s="350" t="s">
        <v>134</v>
      </c>
      <c r="R5" s="352" t="s">
        <v>135</v>
      </c>
      <c r="S5" s="349" t="s">
        <v>131</v>
      </c>
      <c r="T5" s="350" t="s">
        <v>132</v>
      </c>
      <c r="U5" s="350" t="s">
        <v>133</v>
      </c>
      <c r="V5" s="350" t="s">
        <v>134</v>
      </c>
      <c r="W5" s="353" t="s">
        <v>135</v>
      </c>
    </row>
    <row r="6" spans="1:23">
      <c r="A6" s="354" t="s">
        <v>58</v>
      </c>
      <c r="B6" s="484" t="s">
        <v>136</v>
      </c>
      <c r="C6" s="355" t="s">
        <v>137</v>
      </c>
      <c r="D6" s="471" t="s">
        <v>159</v>
      </c>
      <c r="E6" s="471" t="s">
        <v>160</v>
      </c>
      <c r="F6" s="485">
        <v>2228647</v>
      </c>
      <c r="G6" s="486" t="s">
        <v>161</v>
      </c>
      <c r="H6" s="487" t="s">
        <v>141</v>
      </c>
      <c r="I6" s="471" t="s">
        <v>142</v>
      </c>
      <c r="J6" s="356" t="s">
        <v>143</v>
      </c>
      <c r="K6" s="485">
        <v>696947</v>
      </c>
      <c r="L6" s="486" t="s">
        <v>144</v>
      </c>
      <c r="M6" s="487" t="s">
        <v>141</v>
      </c>
      <c r="N6" s="471" t="s">
        <v>145</v>
      </c>
      <c r="O6" s="356" t="s">
        <v>146</v>
      </c>
      <c r="P6" s="485">
        <v>2068067</v>
      </c>
      <c r="Q6" s="486" t="s">
        <v>147</v>
      </c>
      <c r="R6" s="487" t="s">
        <v>141</v>
      </c>
      <c r="S6" s="476" t="s">
        <v>148</v>
      </c>
      <c r="T6" s="357" t="s">
        <v>149</v>
      </c>
      <c r="U6" s="473">
        <v>470861</v>
      </c>
      <c r="V6" s="488" t="s">
        <v>150</v>
      </c>
      <c r="W6" s="477" t="s">
        <v>141</v>
      </c>
    </row>
    <row r="7" spans="1:23">
      <c r="A7" s="358" t="s">
        <v>58</v>
      </c>
      <c r="B7" s="359" t="s">
        <v>206</v>
      </c>
      <c r="C7" s="360" t="s">
        <v>206</v>
      </c>
      <c r="D7" s="483" t="s">
        <v>206</v>
      </c>
      <c r="E7" s="489" t="s">
        <v>206</v>
      </c>
      <c r="F7" s="489" t="s">
        <v>206</v>
      </c>
      <c r="G7" s="489" t="s">
        <v>206</v>
      </c>
      <c r="H7" s="490" t="s">
        <v>206</v>
      </c>
      <c r="I7" s="483" t="s">
        <v>151</v>
      </c>
      <c r="J7" s="489" t="s">
        <v>152</v>
      </c>
      <c r="K7" s="489">
        <v>2262064</v>
      </c>
      <c r="L7" s="491" t="s">
        <v>153</v>
      </c>
      <c r="M7" s="490" t="s">
        <v>141</v>
      </c>
      <c r="N7" s="383" t="s">
        <v>145</v>
      </c>
      <c r="O7" s="383" t="s">
        <v>146</v>
      </c>
      <c r="P7" s="383">
        <v>2068067</v>
      </c>
      <c r="Q7" s="383" t="s">
        <v>147</v>
      </c>
      <c r="R7" s="383" t="s">
        <v>141</v>
      </c>
      <c r="S7" s="384" t="s">
        <v>148</v>
      </c>
      <c r="T7" s="384" t="s">
        <v>149</v>
      </c>
      <c r="U7" s="384">
        <v>470861</v>
      </c>
      <c r="V7" s="384" t="s">
        <v>150</v>
      </c>
      <c r="W7" s="384" t="s">
        <v>141</v>
      </c>
    </row>
    <row r="8" spans="1:23">
      <c r="A8" s="195" t="s">
        <v>154</v>
      </c>
      <c r="B8" s="361" t="s">
        <v>136</v>
      </c>
      <c r="C8" s="363" t="s">
        <v>155</v>
      </c>
      <c r="D8" s="213" t="s">
        <v>159</v>
      </c>
      <c r="E8" s="364" t="s">
        <v>160</v>
      </c>
      <c r="F8" s="365">
        <v>2228647</v>
      </c>
      <c r="G8" s="366" t="s">
        <v>161</v>
      </c>
      <c r="H8" s="367" t="s">
        <v>141</v>
      </c>
      <c r="I8" s="213" t="s">
        <v>206</v>
      </c>
      <c r="J8" s="365" t="s">
        <v>206</v>
      </c>
      <c r="K8" s="365" t="s">
        <v>206</v>
      </c>
      <c r="L8" s="365" t="s">
        <v>206</v>
      </c>
      <c r="M8" s="367" t="s">
        <v>206</v>
      </c>
      <c r="N8" s="197" t="s">
        <v>145</v>
      </c>
      <c r="O8" s="368" t="s">
        <v>146</v>
      </c>
      <c r="P8" s="361">
        <v>2068067</v>
      </c>
      <c r="Q8" s="362" t="s">
        <v>147</v>
      </c>
      <c r="R8" s="369" t="s">
        <v>141</v>
      </c>
      <c r="S8" s="197" t="s">
        <v>148</v>
      </c>
      <c r="T8" s="361" t="s">
        <v>149</v>
      </c>
      <c r="U8" s="361">
        <v>470861</v>
      </c>
      <c r="V8" s="362" t="s">
        <v>150</v>
      </c>
      <c r="W8" s="370" t="s">
        <v>141</v>
      </c>
    </row>
    <row r="9" spans="1:23">
      <c r="A9" s="205" t="s">
        <v>170</v>
      </c>
      <c r="B9" s="371" t="s">
        <v>136</v>
      </c>
      <c r="C9" s="373" t="s">
        <v>166</v>
      </c>
      <c r="D9" s="374" t="s">
        <v>159</v>
      </c>
      <c r="E9" s="371" t="s">
        <v>160</v>
      </c>
      <c r="F9" s="371">
        <v>2228647</v>
      </c>
      <c r="G9" s="372" t="s">
        <v>161</v>
      </c>
      <c r="H9" s="309" t="s">
        <v>141</v>
      </c>
      <c r="I9" s="184" t="s">
        <v>174</v>
      </c>
      <c r="J9" s="375" t="s">
        <v>175</v>
      </c>
      <c r="K9" s="310">
        <v>2177684</v>
      </c>
      <c r="L9" s="376" t="s">
        <v>176</v>
      </c>
      <c r="M9" s="377" t="s">
        <v>141</v>
      </c>
      <c r="N9" s="374" t="s">
        <v>145</v>
      </c>
      <c r="O9" s="371" t="s">
        <v>146</v>
      </c>
      <c r="P9" s="371">
        <v>2068067</v>
      </c>
      <c r="Q9" s="372" t="s">
        <v>147</v>
      </c>
      <c r="R9" s="378" t="s">
        <v>141</v>
      </c>
      <c r="S9" s="309" t="s">
        <v>148</v>
      </c>
      <c r="T9" s="209" t="s">
        <v>149</v>
      </c>
      <c r="U9" s="209">
        <v>470861</v>
      </c>
      <c r="V9" s="379" t="s">
        <v>150</v>
      </c>
      <c r="W9" s="210" t="s">
        <v>141</v>
      </c>
    </row>
    <row r="10" spans="1:23">
      <c r="A10" s="380" t="s">
        <v>170</v>
      </c>
      <c r="B10" s="381" t="s">
        <v>206</v>
      </c>
      <c r="C10" s="382" t="s">
        <v>206</v>
      </c>
      <c r="D10" s="383" t="s">
        <v>206</v>
      </c>
      <c r="E10" s="384" t="s">
        <v>206</v>
      </c>
      <c r="F10" s="384" t="s">
        <v>206</v>
      </c>
      <c r="G10" s="384" t="s">
        <v>206</v>
      </c>
      <c r="H10" s="385" t="s">
        <v>206</v>
      </c>
      <c r="I10" s="386" t="s">
        <v>177</v>
      </c>
      <c r="J10" s="387" t="s">
        <v>178</v>
      </c>
      <c r="K10" s="388">
        <v>2459296</v>
      </c>
      <c r="L10" s="389" t="s">
        <v>179</v>
      </c>
      <c r="M10" s="390" t="s">
        <v>141</v>
      </c>
      <c r="N10" s="383" t="s">
        <v>206</v>
      </c>
      <c r="O10" s="384" t="s">
        <v>206</v>
      </c>
      <c r="P10" s="384" t="s">
        <v>206</v>
      </c>
      <c r="Q10" s="384" t="s">
        <v>206</v>
      </c>
      <c r="R10" s="391" t="s">
        <v>206</v>
      </c>
      <c r="S10" s="384" t="s">
        <v>206</v>
      </c>
      <c r="T10" s="384" t="s">
        <v>206</v>
      </c>
      <c r="U10" s="384" t="s">
        <v>206</v>
      </c>
      <c r="V10" s="384" t="s">
        <v>206</v>
      </c>
      <c r="W10" s="391" t="s">
        <v>206</v>
      </c>
    </row>
    <row r="11" spans="1:23">
      <c r="A11" s="177" t="s">
        <v>170</v>
      </c>
      <c r="B11" s="392" t="s">
        <v>206</v>
      </c>
      <c r="C11" s="393" t="s">
        <v>206</v>
      </c>
      <c r="D11" s="184" t="s">
        <v>206</v>
      </c>
      <c r="E11" s="310" t="s">
        <v>206</v>
      </c>
      <c r="F11" s="310" t="s">
        <v>206</v>
      </c>
      <c r="G11" s="310" t="s">
        <v>206</v>
      </c>
      <c r="H11" s="377" t="s">
        <v>206</v>
      </c>
      <c r="I11" s="386" t="s">
        <v>186</v>
      </c>
      <c r="J11" s="387" t="s">
        <v>187</v>
      </c>
      <c r="K11" s="388">
        <v>2425958</v>
      </c>
      <c r="L11" s="389" t="s">
        <v>188</v>
      </c>
      <c r="M11" s="390" t="s">
        <v>141</v>
      </c>
      <c r="N11" s="184" t="s">
        <v>206</v>
      </c>
      <c r="O11" s="310" t="s">
        <v>206</v>
      </c>
      <c r="P11" s="310" t="s">
        <v>206</v>
      </c>
      <c r="Q11" s="310" t="s">
        <v>206</v>
      </c>
      <c r="R11" s="394" t="s">
        <v>206</v>
      </c>
      <c r="S11" s="310" t="s">
        <v>206</v>
      </c>
      <c r="T11" s="310" t="s">
        <v>206</v>
      </c>
      <c r="U11" s="310" t="s">
        <v>206</v>
      </c>
      <c r="V11" s="310" t="s">
        <v>206</v>
      </c>
      <c r="W11" s="394" t="s">
        <v>206</v>
      </c>
    </row>
    <row r="12" spans="1:23">
      <c r="A12" s="395" t="s">
        <v>165</v>
      </c>
      <c r="B12" s="396" t="s">
        <v>206</v>
      </c>
      <c r="C12" s="397" t="s">
        <v>206</v>
      </c>
      <c r="D12" s="386" t="s">
        <v>206</v>
      </c>
      <c r="E12" s="398" t="s">
        <v>206</v>
      </c>
      <c r="F12" s="388" t="s">
        <v>206</v>
      </c>
      <c r="G12" s="388" t="s">
        <v>206</v>
      </c>
      <c r="H12" s="390" t="s">
        <v>206</v>
      </c>
      <c r="I12" s="386" t="s">
        <v>207</v>
      </c>
      <c r="J12" s="388" t="s">
        <v>208</v>
      </c>
      <c r="K12" s="388">
        <v>2424270</v>
      </c>
      <c r="L12" s="389" t="s">
        <v>209</v>
      </c>
      <c r="M12" s="390" t="s">
        <v>141</v>
      </c>
      <c r="N12" s="386" t="s">
        <v>206</v>
      </c>
      <c r="O12" s="388" t="s">
        <v>206</v>
      </c>
      <c r="P12" s="388" t="s">
        <v>206</v>
      </c>
      <c r="Q12" s="388" t="s">
        <v>206</v>
      </c>
      <c r="R12" s="399" t="s">
        <v>206</v>
      </c>
      <c r="S12" s="388" t="s">
        <v>206</v>
      </c>
      <c r="T12" s="388" t="s">
        <v>206</v>
      </c>
      <c r="U12" s="388" t="s">
        <v>206</v>
      </c>
      <c r="V12" s="388" t="s">
        <v>206</v>
      </c>
      <c r="W12" s="399" t="s">
        <v>206</v>
      </c>
    </row>
    <row r="13" spans="1:23">
      <c r="A13" s="218" t="s">
        <v>195</v>
      </c>
      <c r="B13" s="400" t="s">
        <v>136</v>
      </c>
      <c r="C13" s="402" t="s">
        <v>196</v>
      </c>
      <c r="D13" s="403" t="s">
        <v>159</v>
      </c>
      <c r="E13" s="400" t="s">
        <v>160</v>
      </c>
      <c r="F13" s="400">
        <v>2228647</v>
      </c>
      <c r="G13" s="401" t="s">
        <v>161</v>
      </c>
      <c r="H13" s="404" t="s">
        <v>141</v>
      </c>
      <c r="I13" s="403" t="s">
        <v>197</v>
      </c>
      <c r="J13" s="405" t="s">
        <v>198</v>
      </c>
      <c r="K13" s="400">
        <v>2261809</v>
      </c>
      <c r="L13" s="401" t="s">
        <v>199</v>
      </c>
      <c r="M13" s="404" t="s">
        <v>141</v>
      </c>
      <c r="N13" s="406" t="s">
        <v>145</v>
      </c>
      <c r="O13" s="407" t="s">
        <v>146</v>
      </c>
      <c r="P13" s="407">
        <v>2068067</v>
      </c>
      <c r="Q13" s="408" t="s">
        <v>147</v>
      </c>
      <c r="R13" s="409" t="s">
        <v>141</v>
      </c>
      <c r="S13" s="410" t="s">
        <v>148</v>
      </c>
      <c r="T13" s="411" t="s">
        <v>149</v>
      </c>
      <c r="U13" s="411">
        <v>470861</v>
      </c>
      <c r="V13" s="412" t="s">
        <v>150</v>
      </c>
      <c r="W13" s="413" t="s">
        <v>141</v>
      </c>
    </row>
  </sheetData>
  <mergeCells count="16">
    <mergeCell ref="D1:H1"/>
    <mergeCell ref="I1:M1"/>
    <mergeCell ref="N1:R1"/>
    <mergeCell ref="S1:W1"/>
    <mergeCell ref="D2:H2"/>
    <mergeCell ref="I2:M2"/>
    <mergeCell ref="N2:R2"/>
    <mergeCell ref="S2:W2"/>
    <mergeCell ref="D3:H3"/>
    <mergeCell ref="I3:M3"/>
    <mergeCell ref="N3:R3"/>
    <mergeCell ref="S3:W3"/>
    <mergeCell ref="D4:H4"/>
    <mergeCell ref="I4:M4"/>
    <mergeCell ref="N4:R4"/>
    <mergeCell ref="S4:W4"/>
  </mergeCells>
  <hyperlinks>
    <hyperlink ref="J6" r:id="rId1" xr:uid="{71A818A9-7331-4971-8DB6-48E9F56263EC}"/>
    <hyperlink ref="O6" r:id="rId2" xr:uid="{D10AF9EA-3B6B-4DEF-8C6B-7B034A402D38}"/>
    <hyperlink ref="T6" r:id="rId3" xr:uid="{CB199F03-6930-407D-86F6-6D3234825A61}"/>
    <hyperlink ref="E8" r:id="rId4" xr:uid="{9E022DF3-75E5-46E9-AD6D-8B916B9FF7A1}"/>
    <hyperlink ref="O8" r:id="rId5" xr:uid="{D4197207-4624-4ED6-9D24-785D1BF479A6}"/>
    <hyperlink ref="J9" r:id="rId6" xr:uid="{591B3612-D69D-4EDE-810E-2A89BAD1B8C0}"/>
    <hyperlink ref="J10" r:id="rId7" xr:uid="{63BD77DF-9CE5-4072-882A-7C31BF8081D6}"/>
    <hyperlink ref="J11" r:id="rId8" xr:uid="{A5E8050C-CC61-43F6-83FF-59BAAA00B3CE}"/>
    <hyperlink ref="J13" r:id="rId9" xr:uid="{9AB425F7-12A0-477E-BBC5-2544B3432374}"/>
    <hyperlink ref="O7" r:id="rId10" xr:uid="{C82A2743-7CB7-4D8A-AEBC-D27BA6616AA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0762-6772-48AA-8D36-068B4EBFB2AE}">
  <dimension ref="A1:W10"/>
  <sheetViews>
    <sheetView workbookViewId="0">
      <selection activeCell="T8" sqref="T8"/>
    </sheetView>
  </sheetViews>
  <sheetFormatPr defaultRowHeight="14.45"/>
  <cols>
    <col min="1" max="1" width="19.5703125" bestFit="1" customWidth="1"/>
    <col min="3" max="3" width="15.42578125" bestFit="1" customWidth="1"/>
    <col min="4" max="4" width="13.5703125" bestFit="1" customWidth="1"/>
    <col min="5" max="5" width="38.140625" bestFit="1" customWidth="1"/>
    <col min="6" max="6" width="8.140625" bestFit="1" customWidth="1"/>
    <col min="7" max="7" width="13.85546875" bestFit="1" customWidth="1"/>
    <col min="8" max="8" width="7" bestFit="1" customWidth="1"/>
    <col min="9" max="9" width="14.42578125" bestFit="1" customWidth="1"/>
    <col min="10" max="10" width="44.42578125" bestFit="1" customWidth="1"/>
    <col min="11" max="11" width="8.140625" bestFit="1" customWidth="1"/>
    <col min="12" max="12" width="14.85546875" bestFit="1" customWidth="1"/>
    <col min="13" max="13" width="7" bestFit="1" customWidth="1"/>
    <col min="14" max="14" width="15.85546875" bestFit="1" customWidth="1"/>
    <col min="15" max="15" width="42.28515625" bestFit="1" customWidth="1"/>
    <col min="16" max="16" width="8.140625" bestFit="1" customWidth="1"/>
    <col min="17" max="17" width="14.28515625" bestFit="1" customWidth="1"/>
    <col min="18" max="18" width="7" bestFit="1" customWidth="1"/>
    <col min="19" max="19" width="15.85546875" bestFit="1" customWidth="1"/>
    <col min="20" max="20" width="43" bestFit="1" customWidth="1"/>
    <col min="21" max="21" width="8.140625" bestFit="1" customWidth="1"/>
    <col min="22" max="22" width="14.28515625" bestFit="1" customWidth="1"/>
    <col min="23" max="23" width="7" bestFit="1" customWidth="1"/>
  </cols>
  <sheetData>
    <row r="1" spans="1:23" ht="26.45">
      <c r="A1" s="173" t="s">
        <v>113</v>
      </c>
      <c r="B1" s="338" t="s">
        <v>114</v>
      </c>
      <c r="C1" s="339" t="s">
        <v>206</v>
      </c>
      <c r="D1" s="840">
        <v>1</v>
      </c>
      <c r="E1" s="841"/>
      <c r="F1" s="841"/>
      <c r="G1" s="841"/>
      <c r="H1" s="842"/>
      <c r="I1" s="840">
        <v>2</v>
      </c>
      <c r="J1" s="841"/>
      <c r="K1" s="841"/>
      <c r="L1" s="841"/>
      <c r="M1" s="842"/>
      <c r="N1" s="840">
        <v>3</v>
      </c>
      <c r="O1" s="841"/>
      <c r="P1" s="841"/>
      <c r="Q1" s="841"/>
      <c r="R1" s="842"/>
      <c r="S1" s="843">
        <v>4</v>
      </c>
      <c r="T1" s="844"/>
      <c r="U1" s="844"/>
      <c r="V1" s="844"/>
      <c r="W1" s="845"/>
    </row>
    <row r="2" spans="1:23">
      <c r="A2" s="340" t="s">
        <v>115</v>
      </c>
      <c r="B2" s="341" t="s">
        <v>206</v>
      </c>
      <c r="C2" s="342" t="s">
        <v>206</v>
      </c>
      <c r="D2" s="846" t="s">
        <v>116</v>
      </c>
      <c r="E2" s="847"/>
      <c r="F2" s="847"/>
      <c r="G2" s="847"/>
      <c r="H2" s="848"/>
      <c r="I2" s="846" t="s">
        <v>117</v>
      </c>
      <c r="J2" s="847"/>
      <c r="K2" s="847"/>
      <c r="L2" s="847"/>
      <c r="M2" s="848"/>
      <c r="N2" s="846" t="s">
        <v>118</v>
      </c>
      <c r="O2" s="847"/>
      <c r="P2" s="847"/>
      <c r="Q2" s="847"/>
      <c r="R2" s="848"/>
      <c r="S2" s="849" t="s">
        <v>119</v>
      </c>
      <c r="T2" s="850"/>
      <c r="U2" s="850"/>
      <c r="V2" s="850"/>
      <c r="W2" s="851"/>
    </row>
    <row r="3" spans="1:23">
      <c r="A3" s="343" t="s">
        <v>120</v>
      </c>
      <c r="B3" s="344" t="s">
        <v>206</v>
      </c>
      <c r="C3" s="345" t="s">
        <v>206</v>
      </c>
      <c r="D3" s="852" t="s">
        <v>121</v>
      </c>
      <c r="E3" s="853"/>
      <c r="F3" s="853"/>
      <c r="G3" s="853"/>
      <c r="H3" s="854"/>
      <c r="I3" s="852" t="s">
        <v>122</v>
      </c>
      <c r="J3" s="853"/>
      <c r="K3" s="853"/>
      <c r="L3" s="853"/>
      <c r="M3" s="854"/>
      <c r="N3" s="852" t="s">
        <v>123</v>
      </c>
      <c r="O3" s="853"/>
      <c r="P3" s="853"/>
      <c r="Q3" s="853"/>
      <c r="R3" s="854"/>
      <c r="S3" s="852" t="s">
        <v>124</v>
      </c>
      <c r="T3" s="853"/>
      <c r="U3" s="853"/>
      <c r="V3" s="853"/>
      <c r="W3" s="855"/>
    </row>
    <row r="4" spans="1:23">
      <c r="A4" s="346" t="s">
        <v>125</v>
      </c>
      <c r="B4" s="347" t="s">
        <v>206</v>
      </c>
      <c r="C4" s="348" t="s">
        <v>206</v>
      </c>
      <c r="D4" s="856" t="s">
        <v>126</v>
      </c>
      <c r="E4" s="857"/>
      <c r="F4" s="857"/>
      <c r="G4" s="857"/>
      <c r="H4" s="858"/>
      <c r="I4" s="856" t="s">
        <v>127</v>
      </c>
      <c r="J4" s="857"/>
      <c r="K4" s="857"/>
      <c r="L4" s="857"/>
      <c r="M4" s="858"/>
      <c r="N4" s="856" t="s">
        <v>128</v>
      </c>
      <c r="O4" s="857"/>
      <c r="P4" s="857"/>
      <c r="Q4" s="857"/>
      <c r="R4" s="858"/>
      <c r="S4" s="856" t="s">
        <v>129</v>
      </c>
      <c r="T4" s="857"/>
      <c r="U4" s="857"/>
      <c r="V4" s="857"/>
      <c r="W4" s="859"/>
    </row>
    <row r="5" spans="1:23">
      <c r="A5" s="349" t="s">
        <v>130</v>
      </c>
      <c r="B5" s="350" t="s">
        <v>206</v>
      </c>
      <c r="C5" s="351" t="s">
        <v>206</v>
      </c>
      <c r="D5" s="349" t="s">
        <v>131</v>
      </c>
      <c r="E5" s="350" t="s">
        <v>132</v>
      </c>
      <c r="F5" s="350" t="s">
        <v>133</v>
      </c>
      <c r="G5" s="350" t="s">
        <v>134</v>
      </c>
      <c r="H5" s="352" t="s">
        <v>135</v>
      </c>
      <c r="I5" s="349" t="s">
        <v>131</v>
      </c>
      <c r="J5" s="350" t="s">
        <v>132</v>
      </c>
      <c r="K5" s="350" t="s">
        <v>133</v>
      </c>
      <c r="L5" s="350" t="s">
        <v>134</v>
      </c>
      <c r="M5" s="352" t="s">
        <v>135</v>
      </c>
      <c r="N5" s="349" t="s">
        <v>131</v>
      </c>
      <c r="O5" s="350" t="s">
        <v>132</v>
      </c>
      <c r="P5" s="350" t="s">
        <v>133</v>
      </c>
      <c r="Q5" s="350" t="s">
        <v>134</v>
      </c>
      <c r="R5" s="352" t="s">
        <v>135</v>
      </c>
      <c r="S5" s="349" t="s">
        <v>131</v>
      </c>
      <c r="T5" s="350" t="s">
        <v>132</v>
      </c>
      <c r="U5" s="350" t="s">
        <v>133</v>
      </c>
      <c r="V5" s="350" t="s">
        <v>134</v>
      </c>
      <c r="W5" s="353" t="s">
        <v>135</v>
      </c>
    </row>
    <row r="6" spans="1:23">
      <c r="A6" s="354" t="s">
        <v>58</v>
      </c>
      <c r="B6" s="484" t="s">
        <v>136</v>
      </c>
      <c r="C6" s="355" t="s">
        <v>137</v>
      </c>
      <c r="D6" s="471" t="s">
        <v>159</v>
      </c>
      <c r="E6" s="471" t="s">
        <v>160</v>
      </c>
      <c r="F6" s="485">
        <v>2228647</v>
      </c>
      <c r="G6" s="486" t="s">
        <v>161</v>
      </c>
      <c r="H6" s="487" t="s">
        <v>141</v>
      </c>
      <c r="I6" s="471" t="s">
        <v>142</v>
      </c>
      <c r="J6" s="356" t="s">
        <v>143</v>
      </c>
      <c r="K6" s="485">
        <v>696947</v>
      </c>
      <c r="L6" s="486" t="s">
        <v>144</v>
      </c>
      <c r="M6" s="487" t="s">
        <v>141</v>
      </c>
      <c r="N6" s="471" t="s">
        <v>145</v>
      </c>
      <c r="O6" s="356" t="s">
        <v>146</v>
      </c>
      <c r="P6" s="485">
        <v>2068067</v>
      </c>
      <c r="Q6" s="486" t="s">
        <v>147</v>
      </c>
      <c r="R6" s="487" t="s">
        <v>141</v>
      </c>
      <c r="S6" s="476" t="s">
        <v>148</v>
      </c>
      <c r="T6" s="357" t="s">
        <v>149</v>
      </c>
      <c r="U6" s="473">
        <v>470861</v>
      </c>
      <c r="V6" s="488" t="s">
        <v>150</v>
      </c>
      <c r="W6" s="477" t="s">
        <v>141</v>
      </c>
    </row>
    <row r="7" spans="1:23">
      <c r="A7" s="195" t="s">
        <v>154</v>
      </c>
      <c r="B7" s="361" t="s">
        <v>136</v>
      </c>
      <c r="C7" s="363" t="s">
        <v>155</v>
      </c>
      <c r="D7" s="197" t="s">
        <v>159</v>
      </c>
      <c r="E7" s="361" t="s">
        <v>160</v>
      </c>
      <c r="F7" s="361">
        <v>2228647</v>
      </c>
      <c r="G7" s="362" t="s">
        <v>161</v>
      </c>
      <c r="H7" s="369" t="s">
        <v>141</v>
      </c>
      <c r="I7" s="414" t="s">
        <v>167</v>
      </c>
      <c r="J7" s="415" t="s">
        <v>168</v>
      </c>
      <c r="K7" s="416">
        <v>2458610</v>
      </c>
      <c r="L7" s="417" t="s">
        <v>169</v>
      </c>
      <c r="M7" s="418" t="s">
        <v>141</v>
      </c>
      <c r="N7" s="197" t="s">
        <v>145</v>
      </c>
      <c r="O7" s="368" t="s">
        <v>146</v>
      </c>
      <c r="P7" s="361">
        <v>2068067</v>
      </c>
      <c r="Q7" s="362" t="s">
        <v>147</v>
      </c>
      <c r="R7" s="369" t="s">
        <v>141</v>
      </c>
      <c r="S7" s="197" t="s">
        <v>148</v>
      </c>
      <c r="T7" s="361" t="s">
        <v>149</v>
      </c>
      <c r="U7" s="361">
        <v>470861</v>
      </c>
      <c r="V7" s="362" t="s">
        <v>150</v>
      </c>
      <c r="W7" s="370" t="s">
        <v>141</v>
      </c>
    </row>
    <row r="8" spans="1:23">
      <c r="A8" s="395" t="s">
        <v>170</v>
      </c>
      <c r="B8" s="396" t="s">
        <v>206</v>
      </c>
      <c r="C8" s="397" t="s">
        <v>206</v>
      </c>
      <c r="D8" s="386" t="s">
        <v>159</v>
      </c>
      <c r="E8" s="386" t="s">
        <v>160</v>
      </c>
      <c r="F8" s="388">
        <v>2228647</v>
      </c>
      <c r="G8" s="389" t="s">
        <v>161</v>
      </c>
      <c r="H8" s="390" t="s">
        <v>141</v>
      </c>
      <c r="I8" s="184" t="s">
        <v>171</v>
      </c>
      <c r="J8" s="375" t="s">
        <v>172</v>
      </c>
      <c r="K8" s="310">
        <v>2134110</v>
      </c>
      <c r="L8" s="376" t="s">
        <v>173</v>
      </c>
      <c r="M8" s="377" t="s">
        <v>141</v>
      </c>
      <c r="N8" s="419" t="s">
        <v>145</v>
      </c>
      <c r="O8" s="419" t="s">
        <v>146</v>
      </c>
      <c r="P8" s="388">
        <v>2068067</v>
      </c>
      <c r="Q8" s="389" t="s">
        <v>147</v>
      </c>
      <c r="R8" s="399" t="s">
        <v>141</v>
      </c>
      <c r="S8" s="420" t="s">
        <v>148</v>
      </c>
      <c r="T8" s="420" t="s">
        <v>149</v>
      </c>
      <c r="U8" s="420">
        <v>470861</v>
      </c>
      <c r="V8" s="420" t="s">
        <v>150</v>
      </c>
      <c r="W8" s="420" t="s">
        <v>141</v>
      </c>
    </row>
    <row r="9" spans="1:23">
      <c r="A9" s="395" t="s">
        <v>165</v>
      </c>
      <c r="B9" s="396" t="s">
        <v>206</v>
      </c>
      <c r="C9" s="397" t="s">
        <v>206</v>
      </c>
      <c r="D9" s="386" t="s">
        <v>206</v>
      </c>
      <c r="E9" s="388" t="s">
        <v>206</v>
      </c>
      <c r="F9" s="388" t="s">
        <v>206</v>
      </c>
      <c r="G9" s="388" t="s">
        <v>206</v>
      </c>
      <c r="H9" s="390" t="s">
        <v>206</v>
      </c>
      <c r="I9" s="386" t="s">
        <v>167</v>
      </c>
      <c r="J9" s="387" t="s">
        <v>168</v>
      </c>
      <c r="K9" s="388">
        <v>2458610</v>
      </c>
      <c r="L9" s="389" t="s">
        <v>169</v>
      </c>
      <c r="M9" s="390" t="s">
        <v>141</v>
      </c>
      <c r="N9" s="419" t="s">
        <v>206</v>
      </c>
      <c r="O9" s="420" t="s">
        <v>206</v>
      </c>
      <c r="P9" s="420" t="s">
        <v>206</v>
      </c>
      <c r="Q9" s="420" t="s">
        <v>206</v>
      </c>
      <c r="R9" s="421" t="s">
        <v>206</v>
      </c>
      <c r="S9" s="420" t="s">
        <v>206</v>
      </c>
      <c r="T9" s="420" t="s">
        <v>206</v>
      </c>
      <c r="U9" s="420" t="s">
        <v>206</v>
      </c>
      <c r="V9" s="420" t="s">
        <v>206</v>
      </c>
      <c r="W9" s="421" t="s">
        <v>206</v>
      </c>
    </row>
    <row r="10" spans="1:23">
      <c r="A10" s="218" t="s">
        <v>195</v>
      </c>
      <c r="B10" s="400" t="s">
        <v>136</v>
      </c>
      <c r="C10" s="402" t="s">
        <v>196</v>
      </c>
      <c r="D10" s="403" t="s">
        <v>159</v>
      </c>
      <c r="E10" s="400" t="s">
        <v>160</v>
      </c>
      <c r="F10" s="400">
        <v>2228647</v>
      </c>
      <c r="G10" s="401" t="s">
        <v>161</v>
      </c>
      <c r="H10" s="404" t="s">
        <v>141</v>
      </c>
      <c r="I10" s="422" t="s">
        <v>203</v>
      </c>
      <c r="J10" s="423" t="s">
        <v>204</v>
      </c>
      <c r="K10" s="424">
        <v>2436313</v>
      </c>
      <c r="L10" s="425" t="s">
        <v>205</v>
      </c>
      <c r="M10" s="426" t="s">
        <v>141</v>
      </c>
      <c r="N10" s="406" t="s">
        <v>145</v>
      </c>
      <c r="O10" s="407" t="s">
        <v>146</v>
      </c>
      <c r="P10" s="407">
        <v>2068067</v>
      </c>
      <c r="Q10" s="408" t="s">
        <v>147</v>
      </c>
      <c r="R10" s="409" t="s">
        <v>141</v>
      </c>
      <c r="S10" s="410" t="s">
        <v>148</v>
      </c>
      <c r="T10" s="411" t="s">
        <v>149</v>
      </c>
      <c r="U10" s="411">
        <v>470861</v>
      </c>
      <c r="V10" s="412" t="s">
        <v>150</v>
      </c>
      <c r="W10" s="413" t="s">
        <v>141</v>
      </c>
    </row>
  </sheetData>
  <mergeCells count="16">
    <mergeCell ref="D1:H1"/>
    <mergeCell ref="I1:M1"/>
    <mergeCell ref="N1:R1"/>
    <mergeCell ref="S1:W1"/>
    <mergeCell ref="D2:H2"/>
    <mergeCell ref="I2:M2"/>
    <mergeCell ref="N2:R2"/>
    <mergeCell ref="S2:W2"/>
    <mergeCell ref="D3:H3"/>
    <mergeCell ref="I3:M3"/>
    <mergeCell ref="N3:R3"/>
    <mergeCell ref="S3:W3"/>
    <mergeCell ref="D4:H4"/>
    <mergeCell ref="I4:M4"/>
    <mergeCell ref="N4:R4"/>
    <mergeCell ref="S4:W4"/>
  </mergeCells>
  <hyperlinks>
    <hyperlink ref="J6" r:id="rId1" xr:uid="{C2180CCE-713F-45F3-A2B6-A4C490187C74}"/>
    <hyperlink ref="O6" r:id="rId2" xr:uid="{10C93DFC-E3A1-463E-9FF2-41816420BDBF}"/>
    <hyperlink ref="T6" r:id="rId3" xr:uid="{98CCD380-B8C5-46D7-8651-7B953788585A}"/>
    <hyperlink ref="J7" r:id="rId4" xr:uid="{EDD95A00-0F49-414C-858E-894F2FB5BB2C}"/>
    <hyperlink ref="O7" r:id="rId5" xr:uid="{866FC592-8AC0-42E1-B133-D7414218DF2E}"/>
    <hyperlink ref="J8" r:id="rId6" xr:uid="{9B03FCEE-E306-40E3-AE38-1CB5CB5F5314}"/>
    <hyperlink ref="J9" r:id="rId7" xr:uid="{4613485B-D838-437A-B4D0-9C596FDF8881}"/>
    <hyperlink ref="J10" r:id="rId8" xr:uid="{921FD4CA-7A63-45A3-9354-09F5DA1C8AAD}"/>
    <hyperlink ref="O8" r:id="rId9" xr:uid="{105B5D94-3B6B-40B9-AD00-16331436AC3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DD6D-217B-43DD-8C1A-57F22C0035C3}">
  <dimension ref="A1:AF37"/>
  <sheetViews>
    <sheetView zoomScale="90" zoomScaleNormal="90" workbookViewId="0">
      <pane xSplit="2" ySplit="3" topLeftCell="C12" activePane="bottomRight" state="frozen"/>
      <selection pane="bottomRight" activeCell="B38" sqref="B38"/>
      <selection pane="bottomLeft" activeCell="A4" sqref="A4"/>
      <selection pane="topRight" activeCell="C1" sqref="C1"/>
    </sheetView>
  </sheetViews>
  <sheetFormatPr defaultRowHeight="15" customHeight="1"/>
  <cols>
    <col min="2" max="2" width="43.42578125" style="50" bestFit="1" customWidth="1"/>
    <col min="3" max="3" width="13.85546875" style="111" customWidth="1"/>
    <col min="4" max="4" width="20.5703125" bestFit="1" customWidth="1"/>
    <col min="5" max="5" width="52" customWidth="1"/>
    <col min="6" max="6" width="10.140625" bestFit="1" customWidth="1"/>
    <col min="7" max="7" width="16.5703125" customWidth="1"/>
    <col min="8" max="8" width="10.28515625" customWidth="1"/>
    <col min="9" max="9" width="5.140625" customWidth="1"/>
    <col min="10" max="10" width="24.140625" bestFit="1" customWidth="1"/>
    <col min="11" max="11" width="43.140625" customWidth="1"/>
    <col min="12" max="12" width="10.140625" bestFit="1" customWidth="1"/>
    <col min="13" max="13" width="17.5703125" customWidth="1"/>
    <col min="14" max="14" width="14.42578125" customWidth="1"/>
    <col min="16" max="16" width="21.42578125" customWidth="1"/>
    <col min="17" max="17" width="39.85546875" customWidth="1"/>
    <col min="18" max="18" width="11.140625" customWidth="1"/>
    <col min="19" max="19" width="29.85546875" customWidth="1"/>
    <col min="20" max="20" width="9.5703125" customWidth="1"/>
    <col min="22" max="22" width="14.42578125" bestFit="1" customWidth="1"/>
    <col min="23" max="23" width="49.7109375" bestFit="1" customWidth="1"/>
    <col min="24" max="24" width="20.7109375" customWidth="1"/>
    <col min="25" max="25" width="15.28515625" bestFit="1" customWidth="1"/>
    <col min="28" max="28" width="20.28515625" customWidth="1"/>
    <col min="29" max="29" width="39.42578125" customWidth="1"/>
    <col min="30" max="30" width="23.85546875" customWidth="1"/>
    <col min="31" max="31" width="15" customWidth="1"/>
    <col min="32" max="32" width="17" customWidth="1"/>
  </cols>
  <sheetData>
    <row r="1" spans="1:32" thickBot="1">
      <c r="A1" s="9"/>
      <c r="B1" s="247"/>
      <c r="C1" s="110"/>
      <c r="D1" s="775"/>
      <c r="E1" s="776"/>
      <c r="F1" s="776"/>
      <c r="G1" s="776"/>
      <c r="H1" s="777"/>
      <c r="J1" s="781"/>
      <c r="K1" s="782"/>
      <c r="L1" s="782"/>
      <c r="M1" s="782"/>
      <c r="N1" s="783"/>
    </row>
    <row r="2" spans="1:32" ht="65.25" customHeight="1" thickBot="1">
      <c r="A2" s="57"/>
      <c r="B2" s="248" t="s">
        <v>210</v>
      </c>
      <c r="C2" s="127" t="s">
        <v>114</v>
      </c>
      <c r="D2" s="778" t="s">
        <v>211</v>
      </c>
      <c r="E2" s="779"/>
      <c r="F2" s="779"/>
      <c r="G2" s="779"/>
      <c r="H2" s="780"/>
      <c r="J2" s="784" t="s">
        <v>212</v>
      </c>
      <c r="K2" s="785"/>
      <c r="L2" s="785"/>
      <c r="M2" s="785"/>
      <c r="N2" s="786"/>
      <c r="P2" s="784" t="s">
        <v>213</v>
      </c>
      <c r="Q2" s="785"/>
      <c r="R2" s="785"/>
      <c r="S2" s="785"/>
      <c r="T2" s="786"/>
      <c r="V2" s="784" t="s">
        <v>214</v>
      </c>
      <c r="W2" s="785"/>
      <c r="X2" s="785"/>
      <c r="Y2" s="785"/>
      <c r="Z2" s="786"/>
      <c r="AB2" s="784" t="s">
        <v>215</v>
      </c>
      <c r="AC2" s="785"/>
      <c r="AD2" s="785"/>
      <c r="AE2" s="785"/>
      <c r="AF2" s="786"/>
    </row>
    <row r="3" spans="1:32" ht="14.45">
      <c r="A3" s="131" t="s">
        <v>216</v>
      </c>
      <c r="B3" s="249" t="s">
        <v>217</v>
      </c>
      <c r="C3" s="133" t="s">
        <v>114</v>
      </c>
      <c r="D3" s="128" t="s">
        <v>131</v>
      </c>
      <c r="E3" s="88" t="s">
        <v>132</v>
      </c>
      <c r="F3" s="88" t="s">
        <v>218</v>
      </c>
      <c r="G3" s="88" t="s">
        <v>134</v>
      </c>
      <c r="H3" s="89" t="s">
        <v>135</v>
      </c>
      <c r="J3" s="84" t="s">
        <v>131</v>
      </c>
      <c r="K3" s="85" t="s">
        <v>132</v>
      </c>
      <c r="L3" s="85" t="s">
        <v>218</v>
      </c>
      <c r="M3" s="85" t="s">
        <v>134</v>
      </c>
      <c r="N3" s="86" t="s">
        <v>135</v>
      </c>
      <c r="P3" s="84" t="s">
        <v>131</v>
      </c>
      <c r="Q3" s="85" t="s">
        <v>132</v>
      </c>
      <c r="R3" s="85" t="s">
        <v>218</v>
      </c>
      <c r="S3" s="85" t="s">
        <v>134</v>
      </c>
      <c r="T3" s="86" t="s">
        <v>135</v>
      </c>
      <c r="V3" s="84" t="s">
        <v>131</v>
      </c>
      <c r="W3" s="85" t="s">
        <v>132</v>
      </c>
      <c r="X3" s="85" t="s">
        <v>218</v>
      </c>
      <c r="Y3" s="85" t="s">
        <v>134</v>
      </c>
      <c r="Z3" s="86" t="s">
        <v>135</v>
      </c>
      <c r="AB3" s="84" t="s">
        <v>131</v>
      </c>
      <c r="AC3" s="85" t="s">
        <v>132</v>
      </c>
      <c r="AD3" s="85" t="s">
        <v>218</v>
      </c>
      <c r="AE3" s="85" t="s">
        <v>134</v>
      </c>
      <c r="AF3" s="86" t="s">
        <v>135</v>
      </c>
    </row>
    <row r="4" spans="1:32" s="50" customFormat="1" ht="14.45">
      <c r="A4" s="492">
        <v>535</v>
      </c>
      <c r="B4" s="163" t="s">
        <v>8</v>
      </c>
      <c r="C4" s="492" t="str">
        <f>VLOOKUP(A4,LIST!$A$1:$H$33,7,0)</f>
        <v>8x5</v>
      </c>
      <c r="D4" s="5" t="s">
        <v>219</v>
      </c>
      <c r="E4" s="152" t="s">
        <v>220</v>
      </c>
      <c r="F4" s="5"/>
      <c r="G4" s="5" t="s">
        <v>221</v>
      </c>
      <c r="H4" s="5" t="s">
        <v>141</v>
      </c>
      <c r="J4" s="493"/>
      <c r="K4" s="493"/>
      <c r="L4" s="493"/>
      <c r="M4" s="493"/>
      <c r="N4" s="493"/>
      <c r="P4" s="494"/>
      <c r="Q4" s="494"/>
      <c r="R4" s="494"/>
      <c r="S4" s="494"/>
      <c r="T4" s="494"/>
      <c r="V4" s="493"/>
      <c r="W4" s="493"/>
      <c r="X4" s="493"/>
      <c r="Y4" s="493"/>
      <c r="Z4" s="493"/>
      <c r="AB4" s="493"/>
      <c r="AC4" s="493"/>
      <c r="AD4" s="493"/>
      <c r="AE4" s="493"/>
      <c r="AF4" s="493"/>
    </row>
    <row r="5" spans="1:32" s="50" customFormat="1" ht="14.45">
      <c r="A5" s="427">
        <v>124</v>
      </c>
      <c r="B5" s="135" t="s">
        <v>14</v>
      </c>
      <c r="C5" s="427" t="s">
        <v>12</v>
      </c>
      <c r="D5" s="4" t="s">
        <v>222</v>
      </c>
      <c r="E5" s="76" t="s">
        <v>223</v>
      </c>
      <c r="F5" s="4"/>
      <c r="G5" s="4" t="s">
        <v>224</v>
      </c>
      <c r="H5" s="4" t="s">
        <v>141</v>
      </c>
      <c r="J5" s="495"/>
      <c r="K5" s="495"/>
      <c r="L5" s="495"/>
      <c r="M5" s="495"/>
      <c r="N5" s="495"/>
      <c r="P5" s="496"/>
      <c r="Q5" s="496"/>
      <c r="R5" s="496"/>
      <c r="S5" s="496"/>
      <c r="T5" s="496"/>
      <c r="V5" s="495"/>
      <c r="W5" s="495"/>
      <c r="X5" s="495"/>
      <c r="Y5" s="495"/>
      <c r="Z5" s="495"/>
      <c r="AB5" s="495"/>
      <c r="AC5" s="495"/>
      <c r="AD5" s="495"/>
      <c r="AE5" s="495"/>
      <c r="AF5" s="495"/>
    </row>
    <row r="6" spans="1:32" s="50" customFormat="1" ht="14.45">
      <c r="A6" s="427">
        <v>127</v>
      </c>
      <c r="B6" s="135" t="s">
        <v>20</v>
      </c>
      <c r="C6" s="427" t="str">
        <f>VLOOKUP(A6,LIST!$A$1:$H$33,7,0)</f>
        <v>8x5</v>
      </c>
      <c r="D6" s="4" t="s">
        <v>225</v>
      </c>
      <c r="E6" s="76" t="s">
        <v>226</v>
      </c>
      <c r="F6" s="4"/>
      <c r="G6" s="4" t="s">
        <v>227</v>
      </c>
      <c r="H6" s="4" t="s">
        <v>141</v>
      </c>
      <c r="J6" s="495"/>
      <c r="K6" s="495"/>
      <c r="L6" s="495"/>
      <c r="M6" s="495"/>
      <c r="N6" s="495"/>
      <c r="P6" s="496"/>
      <c r="Q6" s="496"/>
      <c r="R6" s="496"/>
      <c r="S6" s="496"/>
      <c r="T6" s="496"/>
      <c r="V6" s="495"/>
      <c r="W6" s="495"/>
      <c r="X6" s="495"/>
      <c r="Y6" s="495"/>
      <c r="Z6" s="495"/>
      <c r="AB6" s="495"/>
      <c r="AC6" s="495"/>
      <c r="AD6" s="495"/>
      <c r="AE6" s="495"/>
      <c r="AF6" s="495"/>
    </row>
    <row r="7" spans="1:32" s="50" customFormat="1" ht="14.45">
      <c r="A7" s="427">
        <v>128</v>
      </c>
      <c r="B7" s="134" t="s">
        <v>22</v>
      </c>
      <c r="C7" s="427" t="str">
        <f>VLOOKUP(A7,LIST!$A$1:$H$33,7,0)</f>
        <v>8x5</v>
      </c>
      <c r="D7" s="4" t="s">
        <v>225</v>
      </c>
      <c r="E7" s="76" t="s">
        <v>226</v>
      </c>
      <c r="F7" s="4"/>
      <c r="G7" s="4" t="s">
        <v>227</v>
      </c>
      <c r="H7" s="4" t="s">
        <v>141</v>
      </c>
      <c r="J7" s="158"/>
      <c r="K7" s="158"/>
      <c r="L7" s="158"/>
      <c r="M7" s="158"/>
      <c r="N7" s="158"/>
      <c r="P7" s="139"/>
      <c r="Q7" s="139"/>
      <c r="R7" s="139"/>
      <c r="S7" s="139"/>
      <c r="T7" s="139"/>
      <c r="V7" s="158"/>
      <c r="W7" s="158"/>
      <c r="X7" s="158"/>
      <c r="Y7" s="158"/>
      <c r="Z7" s="158"/>
      <c r="AB7" s="158"/>
      <c r="AC7" s="158"/>
      <c r="AD7" s="158"/>
      <c r="AE7" s="158"/>
      <c r="AF7" s="158"/>
    </row>
    <row r="8" spans="1:32" s="50" customFormat="1" ht="14.45">
      <c r="A8" s="427">
        <v>129</v>
      </c>
      <c r="B8" s="134" t="s">
        <v>24</v>
      </c>
      <c r="C8" s="427" t="str">
        <f>VLOOKUP(A8,LIST!$A$1:$H$33,7,0)</f>
        <v>8x5</v>
      </c>
      <c r="D8" s="123" t="s">
        <v>225</v>
      </c>
      <c r="E8" s="153" t="s">
        <v>226</v>
      </c>
      <c r="F8" s="123"/>
      <c r="G8" s="4" t="s">
        <v>227</v>
      </c>
      <c r="H8" s="4" t="s">
        <v>141</v>
      </c>
      <c r="J8" s="158"/>
      <c r="K8" s="158"/>
      <c r="L8" s="158"/>
      <c r="M8" s="158"/>
      <c r="N8" s="158"/>
      <c r="P8" s="139"/>
      <c r="Q8" s="139"/>
      <c r="R8" s="139"/>
      <c r="S8" s="139"/>
      <c r="T8" s="139"/>
      <c r="V8" s="158"/>
      <c r="W8" s="158"/>
      <c r="X8" s="158"/>
      <c r="Y8" s="158"/>
      <c r="Z8" s="158"/>
      <c r="AB8" s="158"/>
      <c r="AC8" s="158"/>
      <c r="AD8" s="158"/>
      <c r="AE8" s="158"/>
      <c r="AF8" s="158"/>
    </row>
    <row r="9" spans="1:32" s="50" customFormat="1" ht="43.5" customHeight="1">
      <c r="A9" s="129">
        <v>120</v>
      </c>
      <c r="B9" s="135" t="s">
        <v>40</v>
      </c>
      <c r="C9" s="427" t="str">
        <f>VLOOKUP(A9,LIST!$A$1:$H$33,7,0)</f>
        <v>8x5</v>
      </c>
      <c r="D9" s="136" t="s">
        <v>228</v>
      </c>
      <c r="E9" s="317" t="s">
        <v>229</v>
      </c>
      <c r="F9" s="123"/>
      <c r="G9" s="633" t="s">
        <v>230</v>
      </c>
      <c r="H9" s="136" t="s">
        <v>231</v>
      </c>
      <c r="J9" s="158"/>
      <c r="K9" s="158"/>
      <c r="L9" s="158"/>
      <c r="M9" s="158"/>
      <c r="N9" s="158"/>
      <c r="P9" s="139"/>
      <c r="Q9" s="139"/>
      <c r="R9" s="139"/>
      <c r="S9" s="139"/>
      <c r="T9" s="139"/>
      <c r="V9" s="158"/>
      <c r="W9" s="158"/>
      <c r="X9" s="158"/>
      <c r="Y9" s="158"/>
      <c r="Z9" s="158"/>
      <c r="AB9" s="158"/>
      <c r="AC9" s="158"/>
      <c r="AD9" s="158"/>
      <c r="AE9" s="158"/>
      <c r="AF9" s="158"/>
    </row>
    <row r="10" spans="1:32" s="50" customFormat="1" ht="46.5" customHeight="1">
      <c r="A10" s="129">
        <v>121</v>
      </c>
      <c r="B10" s="135" t="s">
        <v>44</v>
      </c>
      <c r="C10" s="427" t="str">
        <f>VLOOKUP(A10,LIST!$A$1:$H$33,7,0)</f>
        <v>8x5</v>
      </c>
      <c r="D10" s="136" t="s">
        <v>228</v>
      </c>
      <c r="E10" s="317" t="s">
        <v>229</v>
      </c>
      <c r="F10" s="123"/>
      <c r="G10" s="633" t="s">
        <v>230</v>
      </c>
      <c r="H10" s="136" t="s">
        <v>231</v>
      </c>
      <c r="J10" s="158"/>
      <c r="K10" s="158"/>
      <c r="L10" s="158"/>
      <c r="M10" s="158"/>
      <c r="N10" s="158"/>
      <c r="P10" s="139"/>
      <c r="Q10" s="139"/>
      <c r="R10" s="139"/>
      <c r="S10" s="139"/>
      <c r="T10" s="139"/>
      <c r="V10" s="158"/>
      <c r="W10" s="158"/>
      <c r="X10" s="158"/>
      <c r="Y10" s="158"/>
      <c r="Z10" s="158"/>
      <c r="AB10" s="158"/>
      <c r="AC10" s="158"/>
      <c r="AD10" s="158"/>
      <c r="AE10" s="158"/>
      <c r="AF10" s="158"/>
    </row>
    <row r="11" spans="1:32" s="124" customFormat="1" ht="29.25" customHeight="1">
      <c r="A11" s="129">
        <v>116</v>
      </c>
      <c r="B11" s="135" t="s">
        <v>76</v>
      </c>
      <c r="C11" s="427" t="str">
        <f>VLOOKUP(A11,LIST!$A$1:$H$33,7,0)</f>
        <v>8x5</v>
      </c>
      <c r="D11" s="123" t="s">
        <v>232</v>
      </c>
      <c r="E11" s="146" t="s">
        <v>233</v>
      </c>
      <c r="F11" s="123"/>
      <c r="G11" s="252" t="s">
        <v>234</v>
      </c>
      <c r="H11" s="123" t="s">
        <v>141</v>
      </c>
      <c r="J11" s="160"/>
      <c r="K11" s="160"/>
      <c r="L11" s="160"/>
      <c r="M11" s="160"/>
      <c r="N11" s="160"/>
      <c r="P11" s="160"/>
      <c r="Q11" s="160"/>
      <c r="R11" s="160"/>
      <c r="S11" s="160"/>
      <c r="T11" s="160"/>
      <c r="V11" s="160"/>
      <c r="W11" s="160"/>
      <c r="X11" s="160"/>
      <c r="Y11" s="160"/>
      <c r="Z11" s="160"/>
      <c r="AB11" s="160"/>
      <c r="AC11" s="160"/>
      <c r="AD11" s="160"/>
      <c r="AE11" s="160"/>
      <c r="AF11" s="160"/>
    </row>
    <row r="12" spans="1:32" s="50" customFormat="1" ht="39">
      <c r="A12" s="129">
        <v>117</v>
      </c>
      <c r="B12" s="135" t="s">
        <v>79</v>
      </c>
      <c r="C12" s="427" t="str">
        <f>VLOOKUP(A12,LIST!$A$1:$H$33,7,0)</f>
        <v>8x5</v>
      </c>
      <c r="D12" s="137"/>
      <c r="E12" s="137"/>
      <c r="F12" s="137"/>
      <c r="G12" s="137"/>
      <c r="H12" s="137"/>
      <c r="J12" s="137"/>
      <c r="K12" s="137"/>
      <c r="L12" s="137"/>
      <c r="M12" s="137"/>
      <c r="N12" s="137"/>
      <c r="P12" s="138" t="s">
        <v>235</v>
      </c>
      <c r="Q12" s="138" t="s">
        <v>236</v>
      </c>
      <c r="R12" s="139"/>
      <c r="S12" s="138" t="s">
        <v>237</v>
      </c>
      <c r="T12" s="138" t="s">
        <v>231</v>
      </c>
      <c r="V12" s="156"/>
      <c r="W12" s="156"/>
      <c r="X12" s="156"/>
      <c r="Y12" s="156"/>
      <c r="Z12" s="156"/>
      <c r="AB12" s="156"/>
      <c r="AC12" s="156"/>
      <c r="AD12" s="156"/>
      <c r="AE12" s="156"/>
      <c r="AF12" s="156"/>
    </row>
    <row r="13" spans="1:32" s="50" customFormat="1" ht="43.5">
      <c r="A13" s="129">
        <v>119</v>
      </c>
      <c r="B13" s="135" t="s">
        <v>99</v>
      </c>
      <c r="C13" s="427" t="str">
        <f>VLOOKUP(A13,LIST!$A$1:$H$33,7,0)</f>
        <v>8x5</v>
      </c>
      <c r="D13" s="136" t="s">
        <v>238</v>
      </c>
      <c r="E13" s="317" t="s">
        <v>239</v>
      </c>
      <c r="F13" s="123"/>
      <c r="G13" s="633" t="s">
        <v>240</v>
      </c>
      <c r="H13" s="136" t="s">
        <v>231</v>
      </c>
      <c r="J13" s="160"/>
      <c r="K13" s="160"/>
      <c r="L13" s="160"/>
      <c r="M13" s="160"/>
      <c r="N13" s="160"/>
      <c r="P13" s="160"/>
      <c r="Q13" s="160"/>
      <c r="R13" s="160"/>
      <c r="S13" s="160"/>
      <c r="T13" s="160"/>
      <c r="V13" s="160"/>
      <c r="W13" s="160"/>
      <c r="X13" s="160"/>
      <c r="Y13" s="160"/>
      <c r="Z13" s="160"/>
      <c r="AB13" s="160"/>
      <c r="AC13" s="160"/>
      <c r="AD13" s="160"/>
      <c r="AE13" s="160"/>
      <c r="AF13" s="160"/>
    </row>
    <row r="14" spans="1:32" s="50" customFormat="1" ht="14.45">
      <c r="A14" s="129">
        <v>150</v>
      </c>
      <c r="B14" s="135" t="s">
        <v>102</v>
      </c>
      <c r="C14" s="427" t="str">
        <f>VLOOKUP(A14,LIST!$A$1:$H$33,7,0)</f>
        <v>8x5</v>
      </c>
      <c r="D14" s="136" t="s">
        <v>241</v>
      </c>
      <c r="E14" s="76" t="s">
        <v>242</v>
      </c>
      <c r="F14" s="123"/>
      <c r="G14" s="633" t="s">
        <v>243</v>
      </c>
      <c r="H14" s="123" t="s">
        <v>244</v>
      </c>
      <c r="J14" s="160"/>
      <c r="K14" s="160"/>
      <c r="L14" s="160"/>
      <c r="M14" s="160"/>
      <c r="N14" s="160"/>
      <c r="P14" s="156"/>
      <c r="Q14" s="156"/>
      <c r="R14" s="156"/>
      <c r="S14" s="156"/>
      <c r="T14" s="156"/>
      <c r="V14" s="158" t="s">
        <v>245</v>
      </c>
      <c r="W14" s="143" t="s">
        <v>246</v>
      </c>
      <c r="X14" s="158"/>
      <c r="Y14" s="158" t="s">
        <v>247</v>
      </c>
      <c r="Z14" s="158" t="s">
        <v>141</v>
      </c>
      <c r="AB14" s="160"/>
      <c r="AC14" s="160"/>
      <c r="AD14" s="160"/>
      <c r="AE14" s="160"/>
      <c r="AF14" s="160"/>
    </row>
    <row r="15" spans="1:32" s="50" customFormat="1" ht="14.45">
      <c r="A15" s="132">
        <v>518</v>
      </c>
      <c r="B15" s="134" t="s">
        <v>26</v>
      </c>
      <c r="C15" s="427" t="s">
        <v>12</v>
      </c>
      <c r="D15" s="139" t="s">
        <v>225</v>
      </c>
      <c r="E15" s="153" t="s">
        <v>226</v>
      </c>
      <c r="F15" s="123"/>
      <c r="G15" s="4" t="s">
        <v>227</v>
      </c>
      <c r="H15" s="4" t="s">
        <v>141</v>
      </c>
      <c r="J15" s="158"/>
      <c r="K15" s="158"/>
      <c r="L15" s="158"/>
      <c r="M15" s="158"/>
      <c r="N15" s="158"/>
      <c r="P15" s="139"/>
      <c r="Q15" s="139"/>
      <c r="R15" s="139"/>
      <c r="S15" s="139"/>
      <c r="T15" s="139"/>
      <c r="V15" s="158"/>
      <c r="W15" s="158"/>
      <c r="X15" s="158"/>
      <c r="Y15" s="158"/>
      <c r="Z15" s="158"/>
      <c r="AB15" s="160"/>
      <c r="AC15" s="160"/>
      <c r="AD15" s="160"/>
      <c r="AE15" s="160"/>
      <c r="AF15" s="160"/>
    </row>
    <row r="16" spans="1:32" s="50" customFormat="1" ht="14.45">
      <c r="A16" s="132">
        <v>142</v>
      </c>
      <c r="B16" s="134" t="s">
        <v>33</v>
      </c>
      <c r="C16" s="427" t="str">
        <f>VLOOKUP(A16,LIST!$A$1:$H$33,7,0)</f>
        <v>8x5</v>
      </c>
      <c r="D16" s="139" t="s">
        <v>248</v>
      </c>
      <c r="E16" s="76" t="s">
        <v>249</v>
      </c>
      <c r="F16" s="123"/>
      <c r="G16" s="123" t="s">
        <v>250</v>
      </c>
      <c r="H16" s="123"/>
      <c r="J16" s="158"/>
      <c r="K16" s="158"/>
      <c r="L16" s="158"/>
      <c r="M16" s="158"/>
      <c r="N16" s="158"/>
      <c r="P16" s="139"/>
      <c r="Q16" s="139"/>
      <c r="R16" s="139"/>
      <c r="S16" s="139"/>
      <c r="T16" s="139"/>
      <c r="V16" s="158"/>
      <c r="W16" s="158"/>
      <c r="X16" s="158"/>
      <c r="Y16" s="158"/>
      <c r="Z16" s="158"/>
      <c r="AB16" s="160"/>
      <c r="AC16" s="160"/>
      <c r="AD16" s="160"/>
      <c r="AE16" s="160"/>
      <c r="AF16" s="160"/>
    </row>
    <row r="17" spans="1:32" s="50" customFormat="1" ht="14.45">
      <c r="A17" s="132">
        <v>152</v>
      </c>
      <c r="B17" s="134" t="s">
        <v>52</v>
      </c>
      <c r="C17" s="427" t="str">
        <f>VLOOKUP(A17,LIST!$A$1:$H$33,7,0)</f>
        <v>8x5</v>
      </c>
      <c r="D17" s="137"/>
      <c r="E17" s="137"/>
      <c r="F17" s="137"/>
      <c r="G17" s="137"/>
      <c r="H17" s="137"/>
      <c r="J17" s="160"/>
      <c r="K17" s="160"/>
      <c r="L17" s="160"/>
      <c r="M17" s="160"/>
      <c r="N17" s="160"/>
      <c r="P17" s="156"/>
      <c r="Q17" s="156"/>
      <c r="R17" s="156"/>
      <c r="S17" s="156"/>
      <c r="T17" s="156"/>
      <c r="V17" s="158" t="s">
        <v>251</v>
      </c>
      <c r="W17" s="144" t="s">
        <v>252</v>
      </c>
      <c r="X17" s="158">
        <v>425559</v>
      </c>
      <c r="Y17" s="164" t="s">
        <v>253</v>
      </c>
      <c r="Z17" s="158" t="s">
        <v>141</v>
      </c>
      <c r="AB17" s="160"/>
      <c r="AC17" s="160"/>
      <c r="AD17" s="160"/>
      <c r="AE17" s="160"/>
      <c r="AF17" s="160"/>
    </row>
    <row r="18" spans="1:32" s="50" customFormat="1" ht="14.45">
      <c r="A18" s="130">
        <v>52</v>
      </c>
      <c r="B18" s="163" t="s">
        <v>82</v>
      </c>
      <c r="C18" s="492" t="e">
        <f>VLOOKUP(A18,LIST!$A$1:$H$33,7,0)</f>
        <v>#N/A</v>
      </c>
      <c r="D18" s="5" t="s">
        <v>254</v>
      </c>
      <c r="E18" s="145" t="s">
        <v>255</v>
      </c>
      <c r="F18" s="5"/>
      <c r="G18" s="5" t="s">
        <v>256</v>
      </c>
      <c r="H18" s="5"/>
      <c r="J18" s="158"/>
      <c r="K18" s="157"/>
      <c r="L18" s="158"/>
      <c r="M18" s="158"/>
      <c r="N18" s="158"/>
      <c r="P18" s="494"/>
      <c r="Q18" s="494"/>
      <c r="R18" s="494"/>
      <c r="S18" s="494"/>
      <c r="T18" s="494"/>
      <c r="V18" s="493" t="s">
        <v>257</v>
      </c>
      <c r="W18" s="143" t="s">
        <v>258</v>
      </c>
      <c r="X18" s="158">
        <v>698968</v>
      </c>
      <c r="Y18" s="164" t="s">
        <v>259</v>
      </c>
      <c r="Z18" s="493" t="s">
        <v>141</v>
      </c>
      <c r="AB18" s="493"/>
      <c r="AC18" s="143"/>
      <c r="AD18" s="493"/>
      <c r="AE18" s="497"/>
      <c r="AF18" s="493"/>
    </row>
    <row r="19" spans="1:32" s="50" customFormat="1" ht="14.45">
      <c r="A19" s="129">
        <v>114</v>
      </c>
      <c r="B19" s="135" t="s">
        <v>87</v>
      </c>
      <c r="C19" s="427" t="str">
        <f>VLOOKUP(A19,LIST!$A$1:$H$33,7,0)</f>
        <v>16x5</v>
      </c>
      <c r="D19" s="123" t="s">
        <v>254</v>
      </c>
      <c r="E19" s="146" t="s">
        <v>255</v>
      </c>
      <c r="F19" s="123"/>
      <c r="G19" s="123" t="s">
        <v>256</v>
      </c>
      <c r="H19" s="123"/>
      <c r="J19" s="158"/>
      <c r="K19" s="157"/>
      <c r="L19" s="158"/>
      <c r="M19" s="158"/>
      <c r="N19" s="158"/>
      <c r="P19" s="139"/>
      <c r="Q19" s="139"/>
      <c r="R19" s="139"/>
      <c r="S19" s="139"/>
      <c r="T19" s="139"/>
      <c r="V19" s="493" t="s">
        <v>257</v>
      </c>
      <c r="W19" s="143" t="s">
        <v>258</v>
      </c>
      <c r="X19" s="158">
        <v>698968</v>
      </c>
      <c r="Y19" s="164" t="s">
        <v>259</v>
      </c>
      <c r="Z19" s="493" t="s">
        <v>141</v>
      </c>
      <c r="AB19" s="493"/>
      <c r="AC19" s="143"/>
      <c r="AD19" s="158"/>
      <c r="AE19" s="164"/>
      <c r="AF19" s="493"/>
    </row>
    <row r="20" spans="1:32" s="50" customFormat="1" ht="29.1">
      <c r="A20" s="129">
        <v>133</v>
      </c>
      <c r="B20" s="135" t="s">
        <v>88</v>
      </c>
      <c r="C20" s="427" t="str">
        <f>VLOOKUP(A20,LIST!$A$1:$H$33,7,0)</f>
        <v>16x5</v>
      </c>
      <c r="D20" s="123" t="s">
        <v>254</v>
      </c>
      <c r="E20" s="317" t="s">
        <v>260</v>
      </c>
      <c r="F20" s="123"/>
      <c r="G20" s="136" t="s">
        <v>261</v>
      </c>
      <c r="H20" s="123"/>
      <c r="J20" s="158"/>
      <c r="K20" s="157"/>
      <c r="L20" s="158"/>
      <c r="M20" s="158"/>
      <c r="N20" s="158"/>
      <c r="P20" s="139"/>
      <c r="Q20" s="139"/>
      <c r="R20" s="139"/>
      <c r="S20" s="139"/>
      <c r="T20" s="139"/>
      <c r="V20" s="493" t="s">
        <v>257</v>
      </c>
      <c r="W20" s="143" t="s">
        <v>258</v>
      </c>
      <c r="X20" s="158">
        <v>698968</v>
      </c>
      <c r="Y20" s="164" t="s">
        <v>259</v>
      </c>
      <c r="Z20" s="493" t="s">
        <v>141</v>
      </c>
      <c r="AB20" s="493"/>
      <c r="AC20" s="143"/>
      <c r="AD20" s="158"/>
      <c r="AE20" s="164"/>
      <c r="AF20" s="493"/>
    </row>
    <row r="21" spans="1:32" s="50" customFormat="1" ht="14.45">
      <c r="A21" s="129">
        <v>134</v>
      </c>
      <c r="B21" s="135" t="s">
        <v>90</v>
      </c>
      <c r="C21" s="427" t="str">
        <f>VLOOKUP(A21,LIST!$A$1:$H$33,7,0)</f>
        <v>16x5</v>
      </c>
      <c r="D21" s="123" t="s">
        <v>254</v>
      </c>
      <c r="E21" s="123" t="s">
        <v>255</v>
      </c>
      <c r="F21" s="123"/>
      <c r="G21" s="123" t="s">
        <v>256</v>
      </c>
      <c r="H21" s="123"/>
      <c r="J21" s="158"/>
      <c r="K21" s="157"/>
      <c r="L21" s="158"/>
      <c r="M21" s="158"/>
      <c r="N21" s="158"/>
      <c r="P21" s="139"/>
      <c r="Q21" s="139"/>
      <c r="R21" s="139"/>
      <c r="S21" s="139"/>
      <c r="T21" s="139"/>
      <c r="V21" s="493" t="s">
        <v>257</v>
      </c>
      <c r="W21" s="143" t="s">
        <v>258</v>
      </c>
      <c r="X21" s="158">
        <v>698968</v>
      </c>
      <c r="Y21" s="164" t="s">
        <v>259</v>
      </c>
      <c r="Z21" s="493" t="s">
        <v>141</v>
      </c>
      <c r="AB21" s="493"/>
      <c r="AC21" s="143"/>
      <c r="AD21" s="158"/>
      <c r="AE21" s="164"/>
      <c r="AF21" s="493"/>
    </row>
    <row r="22" spans="1:32" s="50" customFormat="1" ht="14.45">
      <c r="A22" s="129">
        <v>135</v>
      </c>
      <c r="B22" s="135" t="s">
        <v>91</v>
      </c>
      <c r="C22" s="427" t="str">
        <f>VLOOKUP(A22,LIST!$A$1:$H$33,7,0)</f>
        <v>16x5</v>
      </c>
      <c r="D22" s="123" t="s">
        <v>254</v>
      </c>
      <c r="E22" s="123" t="s">
        <v>255</v>
      </c>
      <c r="F22" s="123"/>
      <c r="G22" s="123" t="s">
        <v>256</v>
      </c>
      <c r="H22" s="123"/>
      <c r="J22" s="158"/>
      <c r="K22" s="157"/>
      <c r="L22" s="158"/>
      <c r="M22" s="158"/>
      <c r="N22" s="158"/>
      <c r="P22" s="139"/>
      <c r="Q22" s="139"/>
      <c r="R22" s="139"/>
      <c r="S22" s="139"/>
      <c r="T22" s="139"/>
      <c r="V22" s="493" t="s">
        <v>257</v>
      </c>
      <c r="W22" s="143" t="s">
        <v>258</v>
      </c>
      <c r="X22" s="158">
        <v>698968</v>
      </c>
      <c r="Y22" s="164" t="s">
        <v>259</v>
      </c>
      <c r="Z22" s="493" t="s">
        <v>141</v>
      </c>
      <c r="AB22" s="493"/>
      <c r="AC22" s="143"/>
      <c r="AD22" s="493"/>
      <c r="AE22" s="164"/>
      <c r="AF22" s="493"/>
    </row>
    <row r="23" spans="1:32" s="50" customFormat="1" ht="14.45">
      <c r="A23" s="129">
        <v>137</v>
      </c>
      <c r="B23" s="135" t="s">
        <v>94</v>
      </c>
      <c r="C23" s="427" t="str">
        <f>VLOOKUP(A23,LIST!$A$1:$H$33,7,0)</f>
        <v>16x5</v>
      </c>
      <c r="D23" s="123" t="s">
        <v>262</v>
      </c>
      <c r="E23" s="146" t="s">
        <v>263</v>
      </c>
      <c r="F23" s="123"/>
      <c r="G23" s="4" t="s">
        <v>264</v>
      </c>
      <c r="H23" s="123"/>
      <c r="J23" s="158" t="s">
        <v>265</v>
      </c>
      <c r="K23" s="144" t="s">
        <v>266</v>
      </c>
      <c r="L23" s="158"/>
      <c r="M23" s="495" t="s">
        <v>267</v>
      </c>
      <c r="N23" s="158" t="s">
        <v>268</v>
      </c>
      <c r="P23" s="139"/>
      <c r="Q23" s="139"/>
      <c r="R23" s="139"/>
      <c r="S23" s="139"/>
      <c r="T23" s="139"/>
      <c r="V23" s="493" t="s">
        <v>257</v>
      </c>
      <c r="W23" s="143" t="s">
        <v>258</v>
      </c>
      <c r="X23" s="158">
        <v>698968</v>
      </c>
      <c r="Y23" s="164" t="s">
        <v>259</v>
      </c>
      <c r="Z23" s="493" t="s">
        <v>141</v>
      </c>
      <c r="AB23" s="493"/>
      <c r="AC23" s="143"/>
      <c r="AD23" s="158"/>
      <c r="AE23" s="164"/>
      <c r="AF23" s="493"/>
    </row>
    <row r="24" spans="1:32" s="50" customFormat="1" ht="14.45">
      <c r="A24" s="129">
        <v>139</v>
      </c>
      <c r="B24" s="135" t="s">
        <v>97</v>
      </c>
      <c r="C24" s="427" t="str">
        <f>VLOOKUP(A24,LIST!$A$1:$H$33,7,0)</f>
        <v>16x5</v>
      </c>
      <c r="D24" s="123" t="s">
        <v>262</v>
      </c>
      <c r="E24" s="146" t="s">
        <v>263</v>
      </c>
      <c r="F24" s="123"/>
      <c r="G24" s="4" t="s">
        <v>264</v>
      </c>
      <c r="H24" s="123"/>
      <c r="J24" s="158" t="s">
        <v>265</v>
      </c>
      <c r="K24" s="143" t="s">
        <v>266</v>
      </c>
      <c r="L24" s="158"/>
      <c r="M24" s="495" t="s">
        <v>267</v>
      </c>
      <c r="N24" s="158" t="s">
        <v>268</v>
      </c>
      <c r="P24" s="139"/>
      <c r="Q24" s="139"/>
      <c r="R24" s="139"/>
      <c r="S24" s="139"/>
      <c r="T24" s="139"/>
      <c r="V24" s="493" t="s">
        <v>257</v>
      </c>
      <c r="W24" s="143" t="s">
        <v>258</v>
      </c>
      <c r="X24" s="158">
        <v>698968</v>
      </c>
      <c r="Y24" s="164" t="s">
        <v>259</v>
      </c>
      <c r="Z24" s="493" t="s">
        <v>141</v>
      </c>
      <c r="AB24" s="493"/>
      <c r="AC24" s="143"/>
      <c r="AD24" s="158"/>
      <c r="AE24" s="164"/>
      <c r="AF24" s="493"/>
    </row>
    <row r="25" spans="1:32" s="50" customFormat="1" ht="51.95">
      <c r="A25" s="132">
        <v>538</v>
      </c>
      <c r="B25" s="134" t="s">
        <v>55</v>
      </c>
      <c r="C25" s="427" t="str">
        <f>VLOOKUP(A25,LIST!$A$1:$H$33,7,0)</f>
        <v>24x5</v>
      </c>
      <c r="D25" s="137"/>
      <c r="E25" s="147" t="s">
        <v>269</v>
      </c>
      <c r="F25" s="137"/>
      <c r="G25" s="137"/>
      <c r="H25" s="137"/>
      <c r="J25" s="158"/>
      <c r="K25" s="158"/>
      <c r="L25" s="158"/>
      <c r="M25" s="158"/>
      <c r="N25" s="158"/>
      <c r="P25" s="139"/>
      <c r="Q25" s="139"/>
      <c r="R25" s="139"/>
      <c r="S25" s="139"/>
      <c r="T25" s="139"/>
      <c r="V25" s="158" t="s">
        <v>251</v>
      </c>
      <c r="W25" s="144" t="s">
        <v>252</v>
      </c>
      <c r="X25" s="158">
        <v>425559</v>
      </c>
      <c r="Y25" s="164" t="s">
        <v>253</v>
      </c>
      <c r="Z25" s="158" t="s">
        <v>141</v>
      </c>
      <c r="AB25" s="158"/>
      <c r="AC25" s="144"/>
      <c r="AD25" s="158"/>
      <c r="AE25" s="158"/>
      <c r="AF25" s="158"/>
    </row>
    <row r="26" spans="1:32" s="50" customFormat="1" ht="39">
      <c r="A26" s="129">
        <v>111</v>
      </c>
      <c r="B26" s="135" t="s">
        <v>36</v>
      </c>
      <c r="C26" s="427" t="str">
        <f>VLOOKUP(A26,LIST!$A$1:$H$33,7,0)</f>
        <v>24x5</v>
      </c>
      <c r="D26" s="140"/>
      <c r="E26" s="140"/>
      <c r="F26" s="137"/>
      <c r="G26" s="137"/>
      <c r="H26" s="137"/>
      <c r="J26" s="159" t="s">
        <v>270</v>
      </c>
      <c r="K26" s="632" t="s">
        <v>271</v>
      </c>
      <c r="L26" s="158"/>
      <c r="M26" s="634" t="s">
        <v>272</v>
      </c>
      <c r="N26" s="159" t="s">
        <v>273</v>
      </c>
      <c r="P26" s="138" t="s">
        <v>274</v>
      </c>
      <c r="Q26" s="138" t="s">
        <v>275</v>
      </c>
      <c r="R26" s="139"/>
      <c r="S26" s="138" t="s">
        <v>276</v>
      </c>
      <c r="T26" s="138" t="s">
        <v>277</v>
      </c>
      <c r="V26" s="159" t="s">
        <v>278</v>
      </c>
      <c r="W26" s="161" t="s">
        <v>279</v>
      </c>
      <c r="X26" s="158"/>
      <c r="Y26" s="159" t="s">
        <v>280</v>
      </c>
      <c r="Z26" s="159" t="s">
        <v>141</v>
      </c>
      <c r="AB26" s="159"/>
      <c r="AC26" s="161"/>
      <c r="AD26" s="158"/>
      <c r="AE26" s="159"/>
      <c r="AF26" s="159"/>
    </row>
    <row r="27" spans="1:32" s="50" customFormat="1" ht="57.95">
      <c r="A27" s="129">
        <v>122</v>
      </c>
      <c r="B27" s="135" t="s">
        <v>45</v>
      </c>
      <c r="C27" s="427" t="str">
        <f>VLOOKUP(A27,LIST!$A$1:$H$33,7,0)</f>
        <v>24x5</v>
      </c>
      <c r="D27" s="136" t="s">
        <v>228</v>
      </c>
      <c r="E27" s="317" t="s">
        <v>229</v>
      </c>
      <c r="F27" s="123"/>
      <c r="G27" s="633" t="s">
        <v>230</v>
      </c>
      <c r="H27" s="136" t="s">
        <v>231</v>
      </c>
      <c r="J27" s="159" t="s">
        <v>281</v>
      </c>
      <c r="K27" s="159" t="s">
        <v>282</v>
      </c>
      <c r="L27" s="158"/>
      <c r="M27" s="159" t="s">
        <v>283</v>
      </c>
      <c r="N27" s="158" t="s">
        <v>284</v>
      </c>
      <c r="P27" s="139"/>
      <c r="Q27" s="139"/>
      <c r="R27" s="139"/>
      <c r="S27" s="139"/>
      <c r="T27" s="139"/>
      <c r="V27" s="158"/>
      <c r="W27" s="158"/>
      <c r="X27" s="158"/>
      <c r="Y27" s="158"/>
      <c r="Z27" s="158"/>
      <c r="AB27" s="158"/>
      <c r="AC27" s="158"/>
      <c r="AD27" s="158"/>
      <c r="AE27" s="158"/>
      <c r="AF27" s="158"/>
    </row>
    <row r="28" spans="1:32" s="50" customFormat="1" ht="46.5" customHeight="1">
      <c r="A28" s="111">
        <v>106</v>
      </c>
      <c r="B28" s="134" t="s">
        <v>285</v>
      </c>
      <c r="C28" s="427" t="str">
        <f>VLOOKUP(A28,LIST!$A$1:$H$33,7,0)</f>
        <v>24x5</v>
      </c>
      <c r="D28" s="137"/>
      <c r="E28" s="147" t="s">
        <v>269</v>
      </c>
      <c r="F28" s="137"/>
      <c r="G28" s="137"/>
      <c r="H28" s="137"/>
      <c r="J28" s="158"/>
      <c r="K28" s="158"/>
      <c r="L28" s="158"/>
      <c r="M28" s="158"/>
      <c r="N28" s="158"/>
      <c r="P28" s="139"/>
      <c r="Q28" s="139"/>
      <c r="R28" s="139"/>
      <c r="S28" s="139"/>
      <c r="T28" s="139"/>
      <c r="V28" s="158" t="s">
        <v>251</v>
      </c>
      <c r="W28" s="144" t="s">
        <v>252</v>
      </c>
      <c r="X28" s="158">
        <v>425559</v>
      </c>
      <c r="Y28" s="164" t="s">
        <v>253</v>
      </c>
      <c r="Z28" s="158" t="s">
        <v>141</v>
      </c>
      <c r="AB28" s="158"/>
      <c r="AC28" s="144"/>
      <c r="AD28" s="158"/>
      <c r="AE28" s="158"/>
      <c r="AF28" s="158"/>
    </row>
    <row r="29" spans="1:32" s="50" customFormat="1" ht="14.45">
      <c r="A29" s="129">
        <v>108</v>
      </c>
      <c r="B29" s="135" t="s">
        <v>58</v>
      </c>
      <c r="C29" s="427" t="str">
        <f>VLOOKUP(A29,LIST!$A$1:$H$33,7,0)</f>
        <v>24x5</v>
      </c>
      <c r="D29" s="141" t="s">
        <v>286</v>
      </c>
      <c r="E29" s="139"/>
      <c r="F29" s="139"/>
      <c r="G29" s="139"/>
      <c r="H29" s="139"/>
      <c r="J29" s="158"/>
      <c r="K29" s="158"/>
      <c r="L29" s="158"/>
      <c r="M29" s="158"/>
      <c r="N29" s="158"/>
      <c r="P29" s="139"/>
      <c r="Q29" s="139"/>
      <c r="R29" s="139"/>
      <c r="S29" s="139"/>
      <c r="T29" s="139"/>
      <c r="V29" s="158"/>
      <c r="W29" s="158"/>
      <c r="X29" s="158"/>
      <c r="Y29" s="158"/>
      <c r="Z29" s="158"/>
      <c r="AB29" s="158"/>
      <c r="AC29" s="158"/>
      <c r="AD29" s="158"/>
      <c r="AE29" s="158"/>
      <c r="AF29" s="158"/>
    </row>
    <row r="30" spans="1:32" ht="15" customHeight="1">
      <c r="A30" s="129">
        <v>109</v>
      </c>
      <c r="B30" s="135" t="s">
        <v>63</v>
      </c>
      <c r="C30" s="427" t="str">
        <f>VLOOKUP(A30,LIST!$A$1:$H$33,7,0)</f>
        <v>24x5</v>
      </c>
      <c r="D30" s="141" t="s">
        <v>286</v>
      </c>
      <c r="E30" s="153"/>
      <c r="F30" s="153"/>
      <c r="G30" s="153"/>
      <c r="H30" s="153"/>
      <c r="J30" s="144"/>
      <c r="K30" s="144"/>
      <c r="L30" s="144"/>
      <c r="M30" s="144"/>
      <c r="N30" s="144"/>
      <c r="P30" s="153"/>
      <c r="Q30" s="153"/>
      <c r="R30" s="153"/>
      <c r="S30" s="153"/>
      <c r="T30" s="153"/>
      <c r="V30" s="144"/>
      <c r="W30" s="144"/>
      <c r="X30" s="144"/>
      <c r="Y30" s="144"/>
      <c r="Z30" s="144"/>
      <c r="AB30" s="144"/>
      <c r="AC30" s="144"/>
      <c r="AD30" s="144"/>
      <c r="AE30" s="144"/>
      <c r="AF30" s="144"/>
    </row>
    <row r="31" spans="1:32" ht="15" customHeight="1">
      <c r="A31" s="129">
        <v>112</v>
      </c>
      <c r="B31" s="135" t="s">
        <v>67</v>
      </c>
      <c r="C31" s="427" t="str">
        <f>VLOOKUP(A31,LIST!$A$1:$H$33,7,0)</f>
        <v>24x5</v>
      </c>
      <c r="D31" s="141" t="s">
        <v>286</v>
      </c>
      <c r="E31" s="153"/>
      <c r="F31" s="153"/>
      <c r="G31" s="153"/>
      <c r="H31" s="153"/>
      <c r="J31" s="144"/>
      <c r="K31" s="144"/>
      <c r="L31" s="144"/>
      <c r="M31" s="144"/>
      <c r="N31" s="144"/>
      <c r="P31" s="153"/>
      <c r="Q31" s="153"/>
      <c r="R31" s="153"/>
      <c r="S31" s="153"/>
      <c r="T31" s="153"/>
      <c r="V31" s="144"/>
      <c r="W31" s="144"/>
      <c r="X31" s="144"/>
      <c r="Y31" s="144"/>
      <c r="Z31" s="144"/>
      <c r="AB31" s="144"/>
      <c r="AC31" s="144"/>
      <c r="AD31" s="144"/>
      <c r="AE31" s="144"/>
      <c r="AF31" s="144"/>
    </row>
    <row r="32" spans="1:32" ht="15" customHeight="1">
      <c r="A32" s="129">
        <v>113</v>
      </c>
      <c r="B32" s="135" t="s">
        <v>70</v>
      </c>
      <c r="C32" s="427" t="str">
        <f>VLOOKUP(A32,LIST!$A$1:$H$33,7,0)</f>
        <v>24x5</v>
      </c>
      <c r="D32" s="141" t="s">
        <v>286</v>
      </c>
      <c r="E32" s="153"/>
      <c r="F32" s="153"/>
      <c r="G32" s="153"/>
      <c r="H32" s="153"/>
      <c r="J32" s="144"/>
      <c r="K32" s="144"/>
      <c r="L32" s="144"/>
      <c r="M32" s="144"/>
      <c r="N32" s="144"/>
      <c r="P32" s="153"/>
      <c r="Q32" s="153"/>
      <c r="R32" s="153"/>
      <c r="S32" s="153"/>
      <c r="T32" s="153"/>
      <c r="V32" s="144"/>
      <c r="W32" s="144"/>
      <c r="X32" s="144"/>
      <c r="Y32" s="144"/>
      <c r="Z32" s="144"/>
      <c r="AB32" s="144"/>
      <c r="AC32" s="144"/>
      <c r="AD32" s="144"/>
      <c r="AE32" s="144"/>
      <c r="AF32" s="144"/>
    </row>
    <row r="33" spans="1:32" ht="52.5" customHeight="1">
      <c r="A33" s="129">
        <v>906</v>
      </c>
      <c r="B33" s="135" t="s">
        <v>109</v>
      </c>
      <c r="C33" s="427" t="s">
        <v>12</v>
      </c>
      <c r="D33" s="142" t="s">
        <v>287</v>
      </c>
      <c r="E33" s="154" t="s">
        <v>288</v>
      </c>
      <c r="F33" s="148"/>
      <c r="G33" s="635" t="s">
        <v>289</v>
      </c>
      <c r="H33" s="149" t="s">
        <v>290</v>
      </c>
      <c r="J33" s="160"/>
      <c r="K33" s="160"/>
      <c r="L33" s="160"/>
      <c r="M33" s="160"/>
      <c r="N33" s="160"/>
      <c r="P33" s="160"/>
      <c r="Q33" s="160"/>
      <c r="R33" s="160"/>
      <c r="S33" s="160"/>
      <c r="T33" s="160"/>
      <c r="V33" s="160"/>
      <c r="W33" s="160"/>
      <c r="X33" s="160"/>
      <c r="Y33" s="160"/>
      <c r="Z33" s="160"/>
      <c r="AB33" s="160"/>
      <c r="AC33" s="160"/>
      <c r="AD33" s="160"/>
      <c r="AE33" s="160"/>
      <c r="AF33" s="160"/>
    </row>
    <row r="34" spans="1:32" ht="48" customHeight="1">
      <c r="A34" s="129">
        <v>907</v>
      </c>
      <c r="B34" s="135" t="s">
        <v>291</v>
      </c>
      <c r="C34" s="427" t="s">
        <v>12</v>
      </c>
      <c r="D34" s="142" t="s">
        <v>292</v>
      </c>
      <c r="E34" s="154" t="s">
        <v>293</v>
      </c>
      <c r="F34" s="151"/>
      <c r="G34" s="635" t="s">
        <v>294</v>
      </c>
      <c r="H34" s="149" t="s">
        <v>273</v>
      </c>
      <c r="J34" s="160"/>
      <c r="K34" s="160"/>
      <c r="L34" s="160"/>
      <c r="M34" s="160"/>
      <c r="N34" s="160"/>
      <c r="P34" s="160"/>
      <c r="Q34" s="160"/>
      <c r="R34" s="160"/>
      <c r="S34" s="160"/>
      <c r="T34" s="160"/>
      <c r="V34" s="160"/>
      <c r="W34" s="160"/>
      <c r="X34" s="160"/>
      <c r="Y34" s="160"/>
      <c r="Z34" s="160"/>
      <c r="AB34" s="160"/>
      <c r="AC34" s="160"/>
      <c r="AD34" s="160"/>
      <c r="AE34" s="160"/>
      <c r="AF34" s="160"/>
    </row>
    <row r="35" spans="1:32" ht="48" customHeight="1">
      <c r="A35" s="129">
        <v>537</v>
      </c>
      <c r="B35" s="135" t="s">
        <v>105</v>
      </c>
      <c r="C35" s="427" t="s">
        <v>19</v>
      </c>
      <c r="D35" s="137"/>
      <c r="E35" s="162" t="s">
        <v>295</v>
      </c>
      <c r="F35" s="137"/>
      <c r="G35" s="137"/>
      <c r="H35" s="137"/>
      <c r="J35" s="144"/>
      <c r="K35" s="144"/>
      <c r="L35" s="144"/>
      <c r="M35" s="144"/>
      <c r="N35" s="144"/>
      <c r="P35" s="153"/>
      <c r="Q35" s="153"/>
      <c r="R35" s="153"/>
      <c r="S35" s="153"/>
      <c r="T35" s="153"/>
      <c r="V35" s="158" t="s">
        <v>251</v>
      </c>
      <c r="W35" s="144" t="s">
        <v>252</v>
      </c>
      <c r="X35" s="158">
        <v>425559</v>
      </c>
      <c r="Y35" s="164" t="s">
        <v>253</v>
      </c>
      <c r="Z35" s="158" t="s">
        <v>141</v>
      </c>
      <c r="AB35" s="144"/>
      <c r="AC35" s="144"/>
      <c r="AD35" s="144"/>
      <c r="AE35" s="144"/>
      <c r="AF35" s="144"/>
    </row>
    <row r="36" spans="1:32" ht="48" customHeight="1">
      <c r="A36" s="129">
        <v>908</v>
      </c>
      <c r="B36" s="135" t="s">
        <v>296</v>
      </c>
      <c r="C36" s="427" t="s">
        <v>19</v>
      </c>
      <c r="D36" s="140"/>
      <c r="E36" s="140"/>
      <c r="F36" s="137"/>
      <c r="G36" s="137"/>
      <c r="H36" s="137"/>
      <c r="I36" s="50"/>
      <c r="J36" s="158" t="s">
        <v>297</v>
      </c>
      <c r="K36" s="144" t="s">
        <v>298</v>
      </c>
      <c r="L36" s="158"/>
      <c r="M36" s="158" t="s">
        <v>299</v>
      </c>
      <c r="N36" s="158" t="s">
        <v>141</v>
      </c>
      <c r="O36" s="50"/>
      <c r="P36" s="138" t="s">
        <v>274</v>
      </c>
      <c r="Q36" s="138" t="s">
        <v>275</v>
      </c>
      <c r="R36" s="139"/>
      <c r="S36" s="138" t="s">
        <v>276</v>
      </c>
      <c r="T36" s="138" t="s">
        <v>277</v>
      </c>
      <c r="U36" s="50"/>
      <c r="V36" s="159" t="s">
        <v>278</v>
      </c>
      <c r="W36" s="161" t="s">
        <v>279</v>
      </c>
      <c r="X36" s="158"/>
      <c r="Y36" s="159" t="s">
        <v>280</v>
      </c>
      <c r="Z36" s="159" t="s">
        <v>141</v>
      </c>
      <c r="AB36" s="159"/>
      <c r="AC36" s="161"/>
      <c r="AD36" s="158"/>
      <c r="AE36" s="159"/>
      <c r="AF36" s="159"/>
    </row>
    <row r="37" spans="1:32" ht="48" customHeight="1">
      <c r="A37" s="129">
        <v>140</v>
      </c>
      <c r="B37" s="135" t="s">
        <v>28</v>
      </c>
      <c r="C37" s="427" t="s">
        <v>32</v>
      </c>
      <c r="D37" s="787" t="s">
        <v>300</v>
      </c>
      <c r="E37" s="788"/>
      <c r="F37" s="788"/>
      <c r="G37" s="788"/>
      <c r="H37" s="789"/>
      <c r="J37" s="787" t="s">
        <v>300</v>
      </c>
      <c r="K37" s="788"/>
      <c r="L37" s="788"/>
      <c r="M37" s="788"/>
      <c r="N37" s="789"/>
      <c r="P37" s="155" t="s">
        <v>301</v>
      </c>
      <c r="Q37" s="155" t="s">
        <v>302</v>
      </c>
      <c r="R37" s="155" t="s">
        <v>303</v>
      </c>
      <c r="S37" s="250" t="s">
        <v>304</v>
      </c>
      <c r="T37" s="155" t="s">
        <v>305</v>
      </c>
      <c r="V37" s="787" t="s">
        <v>300</v>
      </c>
      <c r="W37" s="788"/>
      <c r="X37" s="788"/>
      <c r="Y37" s="788"/>
      <c r="Z37" s="789"/>
      <c r="AB37" s="150" t="s">
        <v>306</v>
      </c>
      <c r="AC37" s="251" t="s">
        <v>307</v>
      </c>
      <c r="AD37" s="123">
        <v>498127</v>
      </c>
      <c r="AE37" s="252" t="s">
        <v>308</v>
      </c>
      <c r="AF37" s="123" t="s">
        <v>141</v>
      </c>
    </row>
  </sheetData>
  <autoFilter ref="A3:AF37" xr:uid="{5B99DD6D-217B-43DD-8C1A-57F22C0035C3}"/>
  <mergeCells count="10">
    <mergeCell ref="D37:H37"/>
    <mergeCell ref="J37:N37"/>
    <mergeCell ref="V37:Z37"/>
    <mergeCell ref="AB2:AF2"/>
    <mergeCell ref="V2:Z2"/>
    <mergeCell ref="D1:H1"/>
    <mergeCell ref="D2:H2"/>
    <mergeCell ref="J1:N1"/>
    <mergeCell ref="J2:N2"/>
    <mergeCell ref="P2:T2"/>
  </mergeCells>
  <hyperlinks>
    <hyperlink ref="E18" r:id="rId1" xr:uid="{6C1AF081-4554-4CEA-A901-E8075ADB6F6D}"/>
    <hyperlink ref="E6" r:id="rId2" xr:uid="{21D0D597-A207-465F-8978-BD087409F806}"/>
    <hyperlink ref="E16" r:id="rId3" xr:uid="{55E77796-B2D6-449B-B581-00F437495110}"/>
    <hyperlink ref="W14" r:id="rId4" xr:uid="{8146CA93-3B8C-436C-BAC8-FBA18A98F722}"/>
    <hyperlink ref="E4" r:id="rId5" xr:uid="{0A30EE9C-B657-429C-AD9F-2D3BF8B106A7}"/>
    <hyperlink ref="E5" r:id="rId6" xr:uid="{0FEEE82B-4125-4EA8-82C2-915A87D1A8A4}"/>
    <hyperlink ref="K24" r:id="rId7" xr:uid="{A44F0A2B-A863-48EF-8C54-7F433CB9AE63}"/>
    <hyperlink ref="E19" r:id="rId8" xr:uid="{E8572E49-3A66-4B8B-AA6C-3E9AFB42F937}"/>
    <hyperlink ref="W26" r:id="rId9" xr:uid="{B6F1F958-596D-47D9-B4A5-7C7361758079}"/>
    <hyperlink ref="W36" r:id="rId10" xr:uid="{A3470F32-CA39-497B-858F-7CEF19064A69}"/>
    <hyperlink ref="W23" r:id="rId11" xr:uid="{9699E797-D87C-43CF-91E1-1A8335831FBC}"/>
    <hyperlink ref="W24" r:id="rId12" xr:uid="{A16F9F26-0433-4DC1-AB0C-C5A2880E32EF}"/>
    <hyperlink ref="AC37" r:id="rId13" xr:uid="{01CFA7D5-5CF5-4CC8-920A-281490910A4F}"/>
    <hyperlink ref="D37:H37" location="'Seebuger L1.5'!A1" display="'Seebuger L1.5'!A1" xr:uid="{CE66E47A-396D-465C-B922-4090FD6483D3}"/>
    <hyperlink ref="J37:N37" location="'Seebuger L1.5'!A1" display="'Seebuger L1.5'!A1" xr:uid="{775ABE0F-EC24-44B6-8D9B-2205621A3D1B}"/>
    <hyperlink ref="V37:Z37" location="'Seebuger L1.5'!A1" display="'Seebuger L1.5'!A1" xr:uid="{1F8F6967-11C6-46B3-8765-F61C0BDE9FA3}"/>
    <hyperlink ref="E7" r:id="rId14" xr:uid="{783EF717-E16D-4DA3-B801-60BD4C1E0348}"/>
    <hyperlink ref="E20" r:id="rId15" display="varsha.hariharan@freseniusmedicalcare.com" xr:uid="{0F330DAD-DCBD-4EBB-989A-E54080C7138C}"/>
    <hyperlink ref="E23" r:id="rId16" xr:uid="{3560BD0D-E041-445D-BD5B-F1579D7F8DD3}"/>
    <hyperlink ref="E24" r:id="rId17" xr:uid="{B1F5FA00-1529-4B23-AE00-46ECBC671209}"/>
    <hyperlink ref="W18" r:id="rId18" xr:uid="{69FBB470-25DF-4890-8509-8B2551E8060B}"/>
    <hyperlink ref="W19" r:id="rId19" xr:uid="{6D1AC71D-6608-4FAA-BD48-A03869D95F3C}"/>
    <hyperlink ref="W20" r:id="rId20" xr:uid="{7EABC10D-FE57-4E7C-8D60-B3B2FB7ECA8C}"/>
    <hyperlink ref="W21" r:id="rId21" xr:uid="{9DFC4F6C-2A17-460E-B363-0910216C1906}"/>
    <hyperlink ref="W22" r:id="rId22" xr:uid="{18677746-33AA-404F-AE73-CAD2B5F96545}"/>
    <hyperlink ref="E13" r:id="rId23" display="pooja.ph@freseniusmedicalcare.com" xr:uid="{9534E5B8-C67B-40A9-B214-E9A69874CDD1}"/>
    <hyperlink ref="E11" r:id="rId24" display="pravanjan.swain@freseniusmedicalcare.com" xr:uid="{0FE65324-3FAE-41BC-9A7B-8A0691BE42D5}"/>
    <hyperlink ref="E9" r:id="rId25" display="vaishali.patel@freseniusmedicalcare.com_x000a_" xr:uid="{9587D9CD-AD1C-4B39-8E8B-E4922BFC542F}"/>
    <hyperlink ref="E10" r:id="rId26" display="vaishali.patel@freseniusmedicalcare.com_x000a_" xr:uid="{E14ECE0F-73DA-40B4-B217-62F2E92DFDC2}"/>
    <hyperlink ref="E27" r:id="rId27" display="vaishali.patel@freseniusmedicalcare.com_x000a_" xr:uid="{870F6EEE-4DC0-425C-9B0F-50DC4EBE5E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4D94-52BF-4C9C-9DC4-F8A256915136}">
  <dimension ref="A1:V22"/>
  <sheetViews>
    <sheetView zoomScale="158" zoomScaleNormal="70" workbookViewId="0">
      <pane xSplit="2" ySplit="5" topLeftCell="C6" activePane="bottomRight" state="frozen"/>
      <selection pane="bottomRight" activeCell="D6" sqref="D6"/>
      <selection pane="bottomLeft" activeCell="A6" sqref="A6"/>
      <selection pane="topRight" activeCell="C1" sqref="C1"/>
    </sheetView>
  </sheetViews>
  <sheetFormatPr defaultRowHeight="14.45"/>
  <cols>
    <col min="1" max="1" width="10.7109375" bestFit="1" customWidth="1"/>
    <col min="2" max="2" width="15.7109375" bestFit="1" customWidth="1"/>
    <col min="3" max="3" width="16.140625" bestFit="1" customWidth="1"/>
    <col min="4" max="4" width="9.42578125" bestFit="1" customWidth="1"/>
    <col min="5" max="5" width="10.140625" bestFit="1" customWidth="1"/>
    <col min="6" max="6" width="13.7109375" bestFit="1" customWidth="1"/>
    <col min="8" max="8" width="14.140625" bestFit="1" customWidth="1"/>
    <col min="9" max="9" width="9.42578125" bestFit="1" customWidth="1"/>
    <col min="10" max="10" width="10.140625" bestFit="1" customWidth="1"/>
    <col min="11" max="11" width="13.7109375" bestFit="1" customWidth="1"/>
    <col min="13" max="13" width="22.5703125" bestFit="1" customWidth="1"/>
    <col min="14" max="14" width="9.42578125" bestFit="1" customWidth="1"/>
    <col min="15" max="15" width="10.140625" bestFit="1" customWidth="1"/>
    <col min="16" max="16" width="14.7109375" bestFit="1" customWidth="1"/>
    <col min="18" max="18" width="15.28515625" bestFit="1" customWidth="1"/>
    <col min="19" max="19" width="9.42578125" bestFit="1" customWidth="1"/>
    <col min="20" max="20" width="10.140625" bestFit="1" customWidth="1"/>
    <col min="21" max="21" width="12.85546875" bestFit="1" customWidth="1"/>
  </cols>
  <sheetData>
    <row r="1" spans="1:22" ht="15" thickBot="1">
      <c r="A1" s="7" t="s">
        <v>113</v>
      </c>
      <c r="B1" s="8"/>
      <c r="C1" s="781">
        <v>1</v>
      </c>
      <c r="D1" s="782"/>
      <c r="E1" s="782"/>
      <c r="F1" s="782"/>
      <c r="G1" s="783"/>
      <c r="H1" s="797">
        <v>2</v>
      </c>
      <c r="I1" s="798"/>
      <c r="J1" s="798"/>
      <c r="K1" s="798"/>
      <c r="L1" s="799"/>
      <c r="M1" s="797">
        <v>3</v>
      </c>
      <c r="N1" s="798"/>
      <c r="O1" s="798"/>
      <c r="P1" s="798"/>
      <c r="Q1" s="799"/>
      <c r="R1" s="797">
        <v>4</v>
      </c>
      <c r="S1" s="798"/>
      <c r="T1" s="798"/>
      <c r="U1" s="798"/>
      <c r="V1" s="799"/>
    </row>
    <row r="2" spans="1:22" ht="15" thickBot="1">
      <c r="A2" s="7" t="s">
        <v>210</v>
      </c>
      <c r="B2" s="81" t="s">
        <v>309</v>
      </c>
      <c r="C2" s="790" t="s">
        <v>116</v>
      </c>
      <c r="D2" s="791"/>
      <c r="E2" s="791"/>
      <c r="F2" s="791"/>
      <c r="G2" s="792"/>
      <c r="H2" s="793" t="s">
        <v>310</v>
      </c>
      <c r="I2" s="794"/>
      <c r="J2" s="794"/>
      <c r="K2" s="794"/>
      <c r="L2" s="795"/>
      <c r="M2" s="793" t="s">
        <v>117</v>
      </c>
      <c r="N2" s="794"/>
      <c r="O2" s="794"/>
      <c r="P2" s="794"/>
      <c r="Q2" s="795"/>
      <c r="R2" s="793" t="s">
        <v>311</v>
      </c>
      <c r="S2" s="794"/>
      <c r="T2" s="794"/>
      <c r="U2" s="794"/>
      <c r="V2" s="796"/>
    </row>
    <row r="3" spans="1:22" ht="15" thickBot="1">
      <c r="A3" s="7" t="s">
        <v>210</v>
      </c>
      <c r="B3" s="81" t="s">
        <v>312</v>
      </c>
      <c r="C3" s="790" t="s">
        <v>313</v>
      </c>
      <c r="D3" s="791"/>
      <c r="E3" s="791"/>
      <c r="F3" s="791"/>
      <c r="G3" s="792"/>
      <c r="H3" s="793" t="s">
        <v>314</v>
      </c>
      <c r="I3" s="794"/>
      <c r="J3" s="794"/>
      <c r="K3" s="794"/>
      <c r="L3" s="795"/>
      <c r="M3" s="793" t="s">
        <v>122</v>
      </c>
      <c r="N3" s="794"/>
      <c r="O3" s="794"/>
      <c r="P3" s="794"/>
      <c r="Q3" s="795"/>
      <c r="R3" s="793" t="s">
        <v>315</v>
      </c>
      <c r="S3" s="794"/>
      <c r="T3" s="794"/>
      <c r="U3" s="794"/>
      <c r="V3" s="796"/>
    </row>
    <row r="4" spans="1:22" ht="15" thickBot="1">
      <c r="A4" s="7" t="s">
        <v>210</v>
      </c>
      <c r="B4" s="81" t="s">
        <v>316</v>
      </c>
      <c r="C4" s="790" t="s">
        <v>317</v>
      </c>
      <c r="D4" s="791"/>
      <c r="E4" s="791"/>
      <c r="F4" s="791"/>
      <c r="G4" s="792"/>
      <c r="H4" s="790" t="s">
        <v>318</v>
      </c>
      <c r="I4" s="791"/>
      <c r="J4" s="791"/>
      <c r="K4" s="791"/>
      <c r="L4" s="792"/>
      <c r="M4" s="790" t="s">
        <v>127</v>
      </c>
      <c r="N4" s="791"/>
      <c r="O4" s="791"/>
      <c r="P4" s="791"/>
      <c r="Q4" s="792"/>
      <c r="R4" s="790" t="s">
        <v>319</v>
      </c>
      <c r="S4" s="791"/>
      <c r="T4" s="791"/>
      <c r="U4" s="791"/>
      <c r="V4" s="792"/>
    </row>
    <row r="5" spans="1:22" ht="15" thickBot="1">
      <c r="A5" s="9" t="s">
        <v>217</v>
      </c>
      <c r="B5" s="10"/>
      <c r="C5" s="11" t="s">
        <v>131</v>
      </c>
      <c r="D5" s="12" t="s">
        <v>320</v>
      </c>
      <c r="E5" s="12" t="s">
        <v>218</v>
      </c>
      <c r="F5" s="12" t="s">
        <v>134</v>
      </c>
      <c r="G5" s="13" t="s">
        <v>135</v>
      </c>
      <c r="H5" s="52" t="s">
        <v>131</v>
      </c>
      <c r="I5" s="51" t="s">
        <v>320</v>
      </c>
      <c r="J5" s="51" t="s">
        <v>218</v>
      </c>
      <c r="K5" s="51" t="s">
        <v>134</v>
      </c>
      <c r="L5" s="53" t="s">
        <v>135</v>
      </c>
      <c r="M5" s="52" t="s">
        <v>131</v>
      </c>
      <c r="N5" s="51" t="s">
        <v>320</v>
      </c>
      <c r="O5" s="51" t="s">
        <v>218</v>
      </c>
      <c r="P5" s="51" t="s">
        <v>134</v>
      </c>
      <c r="Q5" s="53" t="s">
        <v>135</v>
      </c>
      <c r="R5" s="52" t="s">
        <v>131</v>
      </c>
      <c r="S5" s="51" t="s">
        <v>320</v>
      </c>
      <c r="T5" s="51" t="s">
        <v>218</v>
      </c>
      <c r="U5" s="51" t="s">
        <v>134</v>
      </c>
      <c r="V5" s="53" t="s">
        <v>135</v>
      </c>
    </row>
    <row r="6" spans="1:22">
      <c r="A6" s="498" t="s">
        <v>58</v>
      </c>
      <c r="B6" s="498"/>
      <c r="C6" s="499" t="s">
        <v>138</v>
      </c>
      <c r="D6" s="500" t="s">
        <v>321</v>
      </c>
      <c r="E6" s="500">
        <v>2261768</v>
      </c>
      <c r="F6" s="500" t="s">
        <v>140</v>
      </c>
      <c r="G6" s="501" t="s">
        <v>141</v>
      </c>
      <c r="H6" s="499" t="s">
        <v>151</v>
      </c>
      <c r="I6" s="500" t="s">
        <v>322</v>
      </c>
      <c r="J6" s="500">
        <v>2262064</v>
      </c>
      <c r="K6" s="500" t="s">
        <v>153</v>
      </c>
      <c r="L6" s="501" t="s">
        <v>141</v>
      </c>
      <c r="M6" s="499" t="s">
        <v>142</v>
      </c>
      <c r="N6" s="500" t="s">
        <v>323</v>
      </c>
      <c r="O6" s="500">
        <v>696947</v>
      </c>
      <c r="P6" s="500" t="s">
        <v>144</v>
      </c>
      <c r="Q6" s="501" t="s">
        <v>141</v>
      </c>
      <c r="R6" s="499" t="s">
        <v>145</v>
      </c>
      <c r="S6" s="500" t="s">
        <v>324</v>
      </c>
      <c r="T6" s="500">
        <v>2068067</v>
      </c>
      <c r="U6" s="500" t="s">
        <v>147</v>
      </c>
      <c r="V6" s="501" t="s">
        <v>244</v>
      </c>
    </row>
    <row r="7" spans="1:22" ht="15" thickBot="1">
      <c r="A7" s="502" t="s">
        <v>58</v>
      </c>
      <c r="B7" s="502" t="s">
        <v>137</v>
      </c>
      <c r="C7" s="503"/>
      <c r="D7" s="504"/>
      <c r="E7" s="504"/>
      <c r="F7" s="504"/>
      <c r="G7" s="505"/>
      <c r="H7" s="506" t="s">
        <v>162</v>
      </c>
      <c r="I7" s="504" t="s">
        <v>325</v>
      </c>
      <c r="J7" s="504">
        <v>2096374</v>
      </c>
      <c r="K7" s="504" t="s">
        <v>164</v>
      </c>
      <c r="L7" s="505" t="s">
        <v>244</v>
      </c>
      <c r="M7" s="506" t="s">
        <v>159</v>
      </c>
      <c r="N7" s="504" t="s">
        <v>326</v>
      </c>
      <c r="O7" s="504">
        <v>2228647</v>
      </c>
      <c r="P7" s="504" t="s">
        <v>161</v>
      </c>
      <c r="Q7" s="505" t="s">
        <v>244</v>
      </c>
      <c r="R7" s="503"/>
      <c r="S7" s="504"/>
      <c r="T7" s="504"/>
      <c r="U7" s="504"/>
      <c r="V7" s="505"/>
    </row>
    <row r="8" spans="1:22">
      <c r="A8" s="14" t="s">
        <v>154</v>
      </c>
      <c r="B8" s="14" t="s">
        <v>327</v>
      </c>
      <c r="C8" s="15"/>
      <c r="D8" s="16"/>
      <c r="E8" s="16"/>
      <c r="F8" s="16"/>
      <c r="G8" s="17"/>
      <c r="H8" s="18" t="s">
        <v>162</v>
      </c>
      <c r="I8" s="16" t="s">
        <v>325</v>
      </c>
      <c r="J8" s="16">
        <v>2096374</v>
      </c>
      <c r="K8" s="16" t="s">
        <v>164</v>
      </c>
      <c r="L8" s="17" t="s">
        <v>141</v>
      </c>
      <c r="M8" s="18" t="s">
        <v>159</v>
      </c>
      <c r="N8" s="16" t="s">
        <v>326</v>
      </c>
      <c r="O8" s="16">
        <v>2228647</v>
      </c>
      <c r="P8" s="16" t="s">
        <v>161</v>
      </c>
      <c r="Q8" s="17" t="s">
        <v>141</v>
      </c>
      <c r="R8" s="18" t="s">
        <v>145</v>
      </c>
      <c r="S8" s="16" t="s">
        <v>324</v>
      </c>
      <c r="T8" s="16">
        <v>2068067</v>
      </c>
      <c r="U8" s="16" t="s">
        <v>147</v>
      </c>
      <c r="V8" s="17" t="s">
        <v>141</v>
      </c>
    </row>
    <row r="9" spans="1:22" ht="15" thickBot="1">
      <c r="A9" s="19" t="s">
        <v>154</v>
      </c>
      <c r="B9" s="19"/>
      <c r="C9" s="20"/>
      <c r="D9" s="21"/>
      <c r="E9" s="21"/>
      <c r="F9" s="21"/>
      <c r="G9" s="22"/>
      <c r="H9" s="23" t="s">
        <v>151</v>
      </c>
      <c r="I9" s="21" t="s">
        <v>322</v>
      </c>
      <c r="J9" s="21">
        <v>2262064</v>
      </c>
      <c r="K9" s="21" t="s">
        <v>153</v>
      </c>
      <c r="L9" s="22" t="s">
        <v>244</v>
      </c>
      <c r="M9" s="23" t="s">
        <v>142</v>
      </c>
      <c r="N9" s="21" t="s">
        <v>323</v>
      </c>
      <c r="O9" s="21">
        <v>696947</v>
      </c>
      <c r="P9" s="21" t="s">
        <v>144</v>
      </c>
      <c r="Q9" s="22" t="s">
        <v>244</v>
      </c>
      <c r="R9" s="20"/>
      <c r="S9" s="21"/>
      <c r="T9" s="21"/>
      <c r="U9" s="21"/>
      <c r="V9" s="22"/>
    </row>
    <row r="10" spans="1:22">
      <c r="A10" s="24" t="s">
        <v>328</v>
      </c>
      <c r="B10" s="24" t="s">
        <v>329</v>
      </c>
      <c r="C10" s="25" t="s">
        <v>171</v>
      </c>
      <c r="D10" s="26" t="s">
        <v>330</v>
      </c>
      <c r="E10" s="26">
        <v>2134110</v>
      </c>
      <c r="F10" s="26" t="s">
        <v>173</v>
      </c>
      <c r="G10" s="27" t="s">
        <v>141</v>
      </c>
      <c r="H10" s="25" t="s">
        <v>200</v>
      </c>
      <c r="I10" s="26" t="s">
        <v>331</v>
      </c>
      <c r="J10" s="26">
        <v>2276700</v>
      </c>
      <c r="K10" s="26" t="s">
        <v>202</v>
      </c>
      <c r="L10" s="27" t="s">
        <v>141</v>
      </c>
      <c r="M10" s="25" t="s">
        <v>189</v>
      </c>
      <c r="N10" s="26" t="s">
        <v>332</v>
      </c>
      <c r="O10" s="26">
        <v>2425983</v>
      </c>
      <c r="P10" s="26" t="s">
        <v>191</v>
      </c>
      <c r="Q10" s="27" t="s">
        <v>141</v>
      </c>
      <c r="R10" s="25" t="s">
        <v>145</v>
      </c>
      <c r="S10" s="26" t="s">
        <v>324</v>
      </c>
      <c r="T10" s="26">
        <v>2068067</v>
      </c>
      <c r="U10" s="26" t="s">
        <v>147</v>
      </c>
      <c r="V10" s="27" t="s">
        <v>244</v>
      </c>
    </row>
    <row r="11" spans="1:22">
      <c r="A11" s="28" t="s">
        <v>328</v>
      </c>
      <c r="B11" s="28"/>
      <c r="C11" s="29" t="s">
        <v>197</v>
      </c>
      <c r="D11" s="30" t="s">
        <v>333</v>
      </c>
      <c r="E11" s="30">
        <v>2261809</v>
      </c>
      <c r="F11" s="30" t="s">
        <v>199</v>
      </c>
      <c r="G11" s="31" t="s">
        <v>244</v>
      </c>
      <c r="H11" s="29" t="s">
        <v>334</v>
      </c>
      <c r="I11" s="30" t="s">
        <v>335</v>
      </c>
      <c r="J11" s="30">
        <v>2003109</v>
      </c>
      <c r="K11" s="30" t="s">
        <v>336</v>
      </c>
      <c r="L11" s="31" t="s">
        <v>141</v>
      </c>
      <c r="M11" s="29" t="s">
        <v>156</v>
      </c>
      <c r="N11" s="30" t="s">
        <v>337</v>
      </c>
      <c r="O11" s="30">
        <v>2428440</v>
      </c>
      <c r="P11" s="30" t="s">
        <v>158</v>
      </c>
      <c r="Q11" s="31" t="s">
        <v>141</v>
      </c>
      <c r="R11" s="32"/>
      <c r="S11" s="30"/>
      <c r="T11" s="30"/>
      <c r="U11" s="30"/>
      <c r="V11" s="31"/>
    </row>
    <row r="12" spans="1:22">
      <c r="A12" s="28" t="s">
        <v>328</v>
      </c>
      <c r="B12" s="28"/>
      <c r="C12" s="29" t="s">
        <v>138</v>
      </c>
      <c r="D12" s="30" t="s">
        <v>321</v>
      </c>
      <c r="E12" s="30">
        <v>2261768</v>
      </c>
      <c r="F12" s="30" t="s">
        <v>140</v>
      </c>
      <c r="G12" s="31" t="s">
        <v>244</v>
      </c>
      <c r="H12" s="29" t="s">
        <v>338</v>
      </c>
      <c r="I12" s="30" t="s">
        <v>339</v>
      </c>
      <c r="J12" s="30">
        <v>2410681</v>
      </c>
      <c r="K12" s="30" t="s">
        <v>340</v>
      </c>
      <c r="L12" s="31" t="s">
        <v>141</v>
      </c>
      <c r="M12" s="29" t="s">
        <v>341</v>
      </c>
      <c r="N12" s="30" t="s">
        <v>342</v>
      </c>
      <c r="O12" s="30">
        <v>2276537</v>
      </c>
      <c r="P12" s="30" t="s">
        <v>343</v>
      </c>
      <c r="Q12" s="31" t="s">
        <v>244</v>
      </c>
      <c r="R12" s="32"/>
      <c r="S12" s="30"/>
      <c r="T12" s="30"/>
      <c r="U12" s="30"/>
      <c r="V12" s="31"/>
    </row>
    <row r="13" spans="1:22">
      <c r="A13" s="28" t="s">
        <v>328</v>
      </c>
      <c r="B13" s="28"/>
      <c r="C13" s="32"/>
      <c r="D13" s="30"/>
      <c r="E13" s="30"/>
      <c r="F13" s="30"/>
      <c r="G13" s="31"/>
      <c r="H13" s="29" t="s">
        <v>203</v>
      </c>
      <c r="I13" s="30" t="s">
        <v>344</v>
      </c>
      <c r="J13" s="30">
        <v>2436313</v>
      </c>
      <c r="K13" s="30" t="s">
        <v>205</v>
      </c>
      <c r="L13" s="31" t="s">
        <v>244</v>
      </c>
      <c r="M13" s="29" t="s">
        <v>174</v>
      </c>
      <c r="N13" s="30" t="s">
        <v>345</v>
      </c>
      <c r="O13" s="30">
        <v>2177684</v>
      </c>
      <c r="P13" s="30" t="s">
        <v>176</v>
      </c>
      <c r="Q13" s="31" t="s">
        <v>244</v>
      </c>
      <c r="R13" s="32"/>
      <c r="S13" s="30"/>
      <c r="T13" s="30"/>
      <c r="U13" s="30"/>
      <c r="V13" s="31"/>
    </row>
    <row r="14" spans="1:22">
      <c r="A14" s="28" t="s">
        <v>328</v>
      </c>
      <c r="B14" s="28"/>
      <c r="C14" s="32"/>
      <c r="D14" s="30"/>
      <c r="E14" s="30"/>
      <c r="F14" s="30"/>
      <c r="G14" s="31"/>
      <c r="H14" s="32"/>
      <c r="I14" s="30"/>
      <c r="J14" s="30"/>
      <c r="K14" s="30"/>
      <c r="L14" s="31"/>
      <c r="M14" s="29" t="s">
        <v>142</v>
      </c>
      <c r="N14" s="30" t="s">
        <v>323</v>
      </c>
      <c r="O14" s="30">
        <v>696947</v>
      </c>
      <c r="P14" s="30" t="s">
        <v>144</v>
      </c>
      <c r="Q14" s="31" t="s">
        <v>244</v>
      </c>
      <c r="R14" s="32"/>
      <c r="S14" s="30"/>
      <c r="T14" s="30"/>
      <c r="U14" s="30"/>
      <c r="V14" s="31"/>
    </row>
    <row r="15" spans="1:22">
      <c r="A15" s="28" t="s">
        <v>346</v>
      </c>
      <c r="B15" s="28"/>
      <c r="C15" s="32"/>
      <c r="D15" s="30"/>
      <c r="E15" s="30"/>
      <c r="F15" s="30"/>
      <c r="G15" s="31"/>
      <c r="H15" s="32" t="s">
        <v>207</v>
      </c>
      <c r="I15" s="30" t="s">
        <v>347</v>
      </c>
      <c r="J15" s="30">
        <v>2424270</v>
      </c>
      <c r="K15" s="30" t="s">
        <v>209</v>
      </c>
      <c r="L15" s="31" t="s">
        <v>141</v>
      </c>
      <c r="M15" s="32" t="s">
        <v>186</v>
      </c>
      <c r="N15" s="30" t="s">
        <v>348</v>
      </c>
      <c r="O15" s="30">
        <v>2425958</v>
      </c>
      <c r="P15" s="30" t="s">
        <v>188</v>
      </c>
      <c r="Q15" s="31" t="s">
        <v>141</v>
      </c>
      <c r="R15" s="32"/>
      <c r="S15" s="30"/>
      <c r="T15" s="30"/>
      <c r="U15" s="30"/>
      <c r="V15" s="31"/>
    </row>
    <row r="16" spans="1:22" ht="15" thickBot="1">
      <c r="A16" s="33" t="s">
        <v>328</v>
      </c>
      <c r="B16" s="33"/>
      <c r="C16" s="34"/>
      <c r="D16" s="35"/>
      <c r="E16" s="35"/>
      <c r="F16" s="35"/>
      <c r="G16" s="36"/>
      <c r="H16" s="34"/>
      <c r="I16" s="35"/>
      <c r="J16" s="35"/>
      <c r="K16" s="35"/>
      <c r="L16" s="36"/>
      <c r="M16" s="34"/>
      <c r="N16" s="35"/>
      <c r="O16" s="35"/>
      <c r="P16" s="35"/>
      <c r="Q16" s="36"/>
      <c r="R16" s="34"/>
      <c r="S16" s="35"/>
      <c r="T16" s="35"/>
      <c r="U16" s="35"/>
      <c r="V16" s="36"/>
    </row>
    <row r="17" spans="1:22">
      <c r="A17" s="37" t="s">
        <v>349</v>
      </c>
      <c r="B17" s="37" t="s">
        <v>350</v>
      </c>
      <c r="C17" s="38" t="s">
        <v>197</v>
      </c>
      <c r="D17" s="39" t="s">
        <v>333</v>
      </c>
      <c r="E17" s="39">
        <v>2261809</v>
      </c>
      <c r="F17" s="39" t="s">
        <v>199</v>
      </c>
      <c r="G17" s="40" t="s">
        <v>141</v>
      </c>
      <c r="H17" s="38" t="s">
        <v>203</v>
      </c>
      <c r="I17" s="39" t="s">
        <v>344</v>
      </c>
      <c r="J17" s="39">
        <v>2436313</v>
      </c>
      <c r="K17" s="39" t="s">
        <v>205</v>
      </c>
      <c r="L17" s="40" t="s">
        <v>141</v>
      </c>
      <c r="M17" s="38" t="s">
        <v>174</v>
      </c>
      <c r="N17" s="39" t="s">
        <v>345</v>
      </c>
      <c r="O17" s="39">
        <v>2177684</v>
      </c>
      <c r="P17" s="39" t="s">
        <v>176</v>
      </c>
      <c r="Q17" s="40" t="s">
        <v>141</v>
      </c>
      <c r="R17" s="38" t="s">
        <v>145</v>
      </c>
      <c r="S17" s="39" t="s">
        <v>324</v>
      </c>
      <c r="T17" s="39">
        <v>2068067</v>
      </c>
      <c r="U17" s="39" t="s">
        <v>147</v>
      </c>
      <c r="V17" s="40" t="s">
        <v>244</v>
      </c>
    </row>
    <row r="18" spans="1:22">
      <c r="A18" s="37" t="s">
        <v>349</v>
      </c>
      <c r="B18" s="37"/>
      <c r="C18" s="41" t="s">
        <v>171</v>
      </c>
      <c r="D18" s="42" t="s">
        <v>330</v>
      </c>
      <c r="E18" s="42">
        <v>2134110</v>
      </c>
      <c r="F18" s="42" t="s">
        <v>173</v>
      </c>
      <c r="G18" s="43" t="s">
        <v>244</v>
      </c>
      <c r="H18" s="41" t="s">
        <v>200</v>
      </c>
      <c r="I18" s="42" t="s">
        <v>331</v>
      </c>
      <c r="J18" s="42">
        <v>2276700</v>
      </c>
      <c r="K18" s="42" t="s">
        <v>202</v>
      </c>
      <c r="L18" s="43" t="s">
        <v>244</v>
      </c>
      <c r="M18" s="41" t="s">
        <v>341</v>
      </c>
      <c r="N18" s="42" t="s">
        <v>342</v>
      </c>
      <c r="O18" s="42">
        <v>2276537</v>
      </c>
      <c r="P18" s="42" t="s">
        <v>343</v>
      </c>
      <c r="Q18" s="43" t="s">
        <v>141</v>
      </c>
      <c r="R18" s="44"/>
      <c r="S18" s="42"/>
      <c r="T18" s="42"/>
      <c r="U18" s="42"/>
      <c r="V18" s="43"/>
    </row>
    <row r="19" spans="1:22">
      <c r="A19" s="37" t="s">
        <v>349</v>
      </c>
      <c r="B19" s="37"/>
      <c r="C19" s="44"/>
      <c r="D19" s="42"/>
      <c r="E19" s="42"/>
      <c r="F19" s="42"/>
      <c r="G19" s="43"/>
      <c r="H19" s="41" t="s">
        <v>334</v>
      </c>
      <c r="I19" s="42" t="s">
        <v>335</v>
      </c>
      <c r="J19" s="42">
        <v>2003109</v>
      </c>
      <c r="K19" s="42" t="s">
        <v>336</v>
      </c>
      <c r="L19" s="43" t="s">
        <v>244</v>
      </c>
      <c r="M19" s="41" t="s">
        <v>189</v>
      </c>
      <c r="N19" s="42" t="s">
        <v>332</v>
      </c>
      <c r="O19" s="42">
        <v>2425983</v>
      </c>
      <c r="P19" s="42" t="s">
        <v>191</v>
      </c>
      <c r="Q19" s="43" t="s">
        <v>244</v>
      </c>
      <c r="R19" s="44"/>
      <c r="S19" s="42"/>
      <c r="T19" s="42"/>
      <c r="U19" s="42"/>
      <c r="V19" s="43"/>
    </row>
    <row r="20" spans="1:22">
      <c r="A20" s="37" t="s">
        <v>349</v>
      </c>
      <c r="B20" s="37"/>
      <c r="C20" s="44"/>
      <c r="D20" s="42"/>
      <c r="E20" s="42"/>
      <c r="F20" s="42"/>
      <c r="G20" s="43"/>
      <c r="H20" s="41" t="s">
        <v>338</v>
      </c>
      <c r="I20" s="42" t="s">
        <v>339</v>
      </c>
      <c r="J20" s="42">
        <v>2410681</v>
      </c>
      <c r="K20" s="42" t="s">
        <v>340</v>
      </c>
      <c r="L20" s="43" t="s">
        <v>244</v>
      </c>
      <c r="M20" s="41" t="s">
        <v>156</v>
      </c>
      <c r="N20" s="42" t="s">
        <v>337</v>
      </c>
      <c r="O20" s="42">
        <v>2428440</v>
      </c>
      <c r="P20" s="42" t="s">
        <v>158</v>
      </c>
      <c r="Q20" s="43" t="s">
        <v>244</v>
      </c>
      <c r="R20" s="44"/>
      <c r="S20" s="42"/>
      <c r="T20" s="42"/>
      <c r="U20" s="42"/>
      <c r="V20" s="43"/>
    </row>
    <row r="21" spans="1:22">
      <c r="A21" s="37" t="s">
        <v>349</v>
      </c>
      <c r="B21" s="37"/>
      <c r="C21" s="44"/>
      <c r="D21" s="42"/>
      <c r="E21" s="42"/>
      <c r="F21" s="42"/>
      <c r="G21" s="43"/>
      <c r="H21" s="44"/>
      <c r="I21" s="42"/>
      <c r="J21" s="42"/>
      <c r="K21" s="42"/>
      <c r="L21" s="43"/>
      <c r="M21" s="41" t="s">
        <v>142</v>
      </c>
      <c r="N21" s="42" t="s">
        <v>323</v>
      </c>
      <c r="O21" s="42">
        <v>696947</v>
      </c>
      <c r="P21" s="42" t="s">
        <v>144</v>
      </c>
      <c r="Q21" s="43" t="s">
        <v>244</v>
      </c>
      <c r="R21" s="44"/>
      <c r="S21" s="42"/>
      <c r="T21" s="42"/>
      <c r="U21" s="42"/>
      <c r="V21" s="43"/>
    </row>
    <row r="22" spans="1:22" ht="15" thickBot="1">
      <c r="A22" s="45" t="s">
        <v>349</v>
      </c>
      <c r="B22" s="45"/>
      <c r="C22" s="46"/>
      <c r="D22" s="47"/>
      <c r="E22" s="47"/>
      <c r="F22" s="47"/>
      <c r="G22" s="48"/>
      <c r="H22" s="46"/>
      <c r="I22" s="47"/>
      <c r="J22" s="47"/>
      <c r="K22" s="47"/>
      <c r="L22" s="48"/>
      <c r="M22" s="46"/>
      <c r="N22" s="47"/>
      <c r="O22" s="47"/>
      <c r="P22" s="47"/>
      <c r="Q22" s="48"/>
      <c r="R22" s="46"/>
      <c r="S22" s="47"/>
      <c r="T22" s="47"/>
      <c r="U22" s="47"/>
      <c r="V22" s="48"/>
    </row>
  </sheetData>
  <mergeCells count="16">
    <mergeCell ref="C1:G1"/>
    <mergeCell ref="H1:L1"/>
    <mergeCell ref="M1:Q1"/>
    <mergeCell ref="R1:V1"/>
    <mergeCell ref="C2:G2"/>
    <mergeCell ref="H2:L2"/>
    <mergeCell ref="M2:Q2"/>
    <mergeCell ref="R2:V2"/>
    <mergeCell ref="C3:G3"/>
    <mergeCell ref="H3:L3"/>
    <mergeCell ref="M3:Q3"/>
    <mergeCell ref="R3:V3"/>
    <mergeCell ref="C4:G4"/>
    <mergeCell ref="H4:L4"/>
    <mergeCell ref="M4:Q4"/>
    <mergeCell ref="R4:V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598D-1945-4517-81BE-E9938986B5E7}">
  <dimension ref="A1:BM17"/>
  <sheetViews>
    <sheetView workbookViewId="0">
      <pane xSplit="3" ySplit="1" topLeftCell="BJ2" activePane="bottomRight" state="frozen"/>
      <selection pane="bottomRight"/>
      <selection pane="bottomLeft"/>
      <selection pane="topRight"/>
    </sheetView>
  </sheetViews>
  <sheetFormatPr defaultRowHeight="15" customHeight="1"/>
  <cols>
    <col min="1" max="1" width="21" customWidth="1"/>
    <col min="2" max="2" width="53.42578125" customWidth="1"/>
    <col min="3" max="3" width="21" customWidth="1"/>
    <col min="4" max="4" width="11.28515625" customWidth="1"/>
    <col min="5" max="5" width="7.140625" bestFit="1" customWidth="1"/>
    <col min="6" max="28" width="8.7109375" bestFit="1" customWidth="1"/>
    <col min="29" max="34" width="8.7109375" hidden="1" customWidth="1"/>
    <col min="16384" max="16384" width="8.7109375" bestFit="1" customWidth="1"/>
  </cols>
  <sheetData>
    <row r="1" spans="1:65" ht="15" customHeight="1">
      <c r="C1" s="801" t="s">
        <v>351</v>
      </c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802"/>
      <c r="AD1" s="802"/>
      <c r="AE1" s="802"/>
      <c r="AF1" s="802"/>
      <c r="AG1" s="802"/>
      <c r="AH1" s="802"/>
    </row>
    <row r="2" spans="1:65" ht="15" customHeight="1">
      <c r="A2" s="800" t="s">
        <v>131</v>
      </c>
      <c r="B2" s="800" t="s">
        <v>352</v>
      </c>
      <c r="C2" s="803" t="s">
        <v>353</v>
      </c>
      <c r="D2" s="264">
        <v>45992</v>
      </c>
      <c r="E2" s="253">
        <v>45993</v>
      </c>
      <c r="F2" s="253">
        <v>45994</v>
      </c>
      <c r="G2" s="253">
        <v>45995</v>
      </c>
      <c r="H2" s="253">
        <v>45996</v>
      </c>
      <c r="I2" s="253">
        <v>45997</v>
      </c>
      <c r="J2" s="253">
        <v>45998</v>
      </c>
      <c r="K2" s="253">
        <v>45999</v>
      </c>
      <c r="L2" s="253">
        <v>46000</v>
      </c>
      <c r="M2" s="253">
        <v>46001</v>
      </c>
      <c r="N2" s="253">
        <v>46002</v>
      </c>
      <c r="O2" s="253">
        <v>46003</v>
      </c>
      <c r="P2" s="253">
        <v>46004</v>
      </c>
      <c r="Q2" s="253">
        <v>46005</v>
      </c>
      <c r="R2" s="253">
        <v>46006</v>
      </c>
      <c r="S2" s="253">
        <v>46007</v>
      </c>
      <c r="T2" s="253">
        <v>46008</v>
      </c>
      <c r="U2" s="253">
        <v>46009</v>
      </c>
      <c r="V2" s="253">
        <v>46010</v>
      </c>
      <c r="W2" s="253">
        <v>46011</v>
      </c>
      <c r="X2" s="253">
        <v>46012</v>
      </c>
      <c r="Y2" s="253">
        <v>46013</v>
      </c>
      <c r="Z2" s="253">
        <v>46014</v>
      </c>
      <c r="AA2" s="253">
        <v>46015</v>
      </c>
      <c r="AB2" s="253">
        <v>46016</v>
      </c>
      <c r="AC2" s="253">
        <v>46017</v>
      </c>
      <c r="AD2" s="253">
        <v>46018</v>
      </c>
      <c r="AE2" s="253">
        <v>46019</v>
      </c>
      <c r="AF2" s="253">
        <v>46020</v>
      </c>
      <c r="AG2" s="253">
        <v>46021</v>
      </c>
      <c r="AH2" s="253">
        <v>46022</v>
      </c>
      <c r="AI2" s="253">
        <v>46023</v>
      </c>
      <c r="AJ2" s="253">
        <v>46024</v>
      </c>
      <c r="AK2" s="253">
        <v>46025</v>
      </c>
      <c r="AL2" s="253">
        <v>46026</v>
      </c>
      <c r="AM2" s="253">
        <v>46027</v>
      </c>
      <c r="AN2" s="253">
        <v>46028</v>
      </c>
      <c r="AO2" s="253">
        <v>46029</v>
      </c>
      <c r="AP2" s="253">
        <v>46030</v>
      </c>
      <c r="AQ2" s="253">
        <v>46031</v>
      </c>
      <c r="AR2" s="253">
        <v>46032</v>
      </c>
      <c r="AS2" s="253">
        <v>46033</v>
      </c>
      <c r="AT2" s="253">
        <v>46034</v>
      </c>
      <c r="AU2" s="253">
        <v>46035</v>
      </c>
      <c r="AV2" s="253">
        <v>46036</v>
      </c>
      <c r="AW2" s="253">
        <v>46037</v>
      </c>
      <c r="AX2" s="253">
        <v>46038</v>
      </c>
      <c r="AY2" s="253">
        <v>46039</v>
      </c>
      <c r="AZ2" s="253">
        <v>46040</v>
      </c>
      <c r="BA2" s="253">
        <v>46041</v>
      </c>
      <c r="BB2" s="253">
        <v>46042</v>
      </c>
      <c r="BC2" s="253">
        <v>46043</v>
      </c>
      <c r="BD2" s="253">
        <v>46044</v>
      </c>
      <c r="BE2" s="253">
        <v>46045</v>
      </c>
      <c r="BF2" s="253">
        <v>46046</v>
      </c>
      <c r="BG2" s="253">
        <v>46047</v>
      </c>
      <c r="BH2" s="253">
        <v>46048</v>
      </c>
      <c r="BI2" s="253">
        <v>46049</v>
      </c>
      <c r="BJ2" s="253">
        <v>46050</v>
      </c>
      <c r="BK2" s="253">
        <v>46051</v>
      </c>
      <c r="BL2" s="253">
        <v>46052</v>
      </c>
      <c r="BM2" s="253">
        <v>46053</v>
      </c>
    </row>
    <row r="3" spans="1:65" ht="15" customHeight="1">
      <c r="A3" s="800"/>
      <c r="B3" s="800"/>
      <c r="C3" s="804"/>
      <c r="D3" s="264" t="str">
        <f t="shared" ref="D3:BM3" si="0">TEXT(D2,"DDD")</f>
        <v>Mon</v>
      </c>
      <c r="E3" s="253" t="str">
        <f t="shared" si="0"/>
        <v>Tue</v>
      </c>
      <c r="F3" s="253" t="str">
        <f t="shared" si="0"/>
        <v>Wed</v>
      </c>
      <c r="G3" s="253" t="str">
        <f t="shared" si="0"/>
        <v>Thu</v>
      </c>
      <c r="H3" s="253" t="str">
        <f t="shared" si="0"/>
        <v>Fri</v>
      </c>
      <c r="I3" s="253" t="str">
        <f t="shared" si="0"/>
        <v>Sat</v>
      </c>
      <c r="J3" s="253" t="str">
        <f t="shared" si="0"/>
        <v>Sun</v>
      </c>
      <c r="K3" s="253" t="str">
        <f t="shared" si="0"/>
        <v>Mon</v>
      </c>
      <c r="L3" s="253" t="str">
        <f t="shared" si="0"/>
        <v>Tue</v>
      </c>
      <c r="M3" s="253" t="str">
        <f t="shared" si="0"/>
        <v>Wed</v>
      </c>
      <c r="N3" s="253" t="str">
        <f t="shared" si="0"/>
        <v>Thu</v>
      </c>
      <c r="O3" s="253" t="str">
        <f t="shared" si="0"/>
        <v>Fri</v>
      </c>
      <c r="P3" s="253" t="str">
        <f t="shared" si="0"/>
        <v>Sat</v>
      </c>
      <c r="Q3" s="253" t="str">
        <f t="shared" si="0"/>
        <v>Sun</v>
      </c>
      <c r="R3" s="253" t="str">
        <f t="shared" si="0"/>
        <v>Mon</v>
      </c>
      <c r="S3" s="253" t="str">
        <f t="shared" si="0"/>
        <v>Tue</v>
      </c>
      <c r="T3" s="253" t="str">
        <f t="shared" si="0"/>
        <v>Wed</v>
      </c>
      <c r="U3" s="253" t="str">
        <f t="shared" si="0"/>
        <v>Thu</v>
      </c>
      <c r="V3" s="253" t="str">
        <f t="shared" si="0"/>
        <v>Fri</v>
      </c>
      <c r="W3" s="253" t="str">
        <f t="shared" si="0"/>
        <v>Sat</v>
      </c>
      <c r="X3" s="253" t="str">
        <f t="shared" si="0"/>
        <v>Sun</v>
      </c>
      <c r="Y3" s="253" t="str">
        <f t="shared" si="0"/>
        <v>Mon</v>
      </c>
      <c r="Z3" s="253" t="str">
        <f t="shared" si="0"/>
        <v>Tue</v>
      </c>
      <c r="AA3" s="253" t="str">
        <f t="shared" si="0"/>
        <v>Wed</v>
      </c>
      <c r="AB3" s="253" t="str">
        <f t="shared" si="0"/>
        <v>Thu</v>
      </c>
      <c r="AC3" s="253" t="str">
        <f t="shared" si="0"/>
        <v>Fri</v>
      </c>
      <c r="AD3" s="253" t="str">
        <f t="shared" si="0"/>
        <v>Sat</v>
      </c>
      <c r="AE3" s="253" t="str">
        <f t="shared" si="0"/>
        <v>Sun</v>
      </c>
      <c r="AF3" s="253" t="str">
        <f t="shared" si="0"/>
        <v>Mon</v>
      </c>
      <c r="AG3" s="253" t="str">
        <f t="shared" si="0"/>
        <v>Tue</v>
      </c>
      <c r="AH3" s="253" t="str">
        <f t="shared" si="0"/>
        <v>Wed</v>
      </c>
      <c r="AI3" s="253" t="str">
        <f t="shared" si="0"/>
        <v>Thu</v>
      </c>
      <c r="AJ3" s="253" t="str">
        <f t="shared" si="0"/>
        <v>Fri</v>
      </c>
      <c r="AK3" s="253" t="str">
        <f t="shared" si="0"/>
        <v>Sat</v>
      </c>
      <c r="AL3" s="253" t="str">
        <f t="shared" si="0"/>
        <v>Sun</v>
      </c>
      <c r="AM3" s="253" t="str">
        <f t="shared" si="0"/>
        <v>Mon</v>
      </c>
      <c r="AN3" s="253" t="str">
        <f t="shared" si="0"/>
        <v>Tue</v>
      </c>
      <c r="AO3" s="253" t="str">
        <f t="shared" si="0"/>
        <v>Wed</v>
      </c>
      <c r="AP3" s="253" t="str">
        <f t="shared" si="0"/>
        <v>Thu</v>
      </c>
      <c r="AQ3" s="253" t="str">
        <f t="shared" si="0"/>
        <v>Fri</v>
      </c>
      <c r="AR3" s="253" t="str">
        <f t="shared" si="0"/>
        <v>Sat</v>
      </c>
      <c r="AS3" s="253" t="str">
        <f t="shared" si="0"/>
        <v>Sun</v>
      </c>
      <c r="AT3" s="253" t="str">
        <f t="shared" si="0"/>
        <v>Mon</v>
      </c>
      <c r="AU3" s="253" t="str">
        <f t="shared" si="0"/>
        <v>Tue</v>
      </c>
      <c r="AV3" s="253" t="str">
        <f t="shared" si="0"/>
        <v>Wed</v>
      </c>
      <c r="AW3" s="253" t="str">
        <f t="shared" si="0"/>
        <v>Thu</v>
      </c>
      <c r="AX3" s="253" t="str">
        <f t="shared" si="0"/>
        <v>Fri</v>
      </c>
      <c r="AY3" s="253" t="str">
        <f t="shared" si="0"/>
        <v>Sat</v>
      </c>
      <c r="AZ3" s="253" t="str">
        <f t="shared" si="0"/>
        <v>Sun</v>
      </c>
      <c r="BA3" s="253" t="str">
        <f t="shared" si="0"/>
        <v>Mon</v>
      </c>
      <c r="BB3" s="253" t="str">
        <f t="shared" si="0"/>
        <v>Tue</v>
      </c>
      <c r="BC3" s="253" t="str">
        <f t="shared" si="0"/>
        <v>Wed</v>
      </c>
      <c r="BD3" s="253" t="str">
        <f t="shared" si="0"/>
        <v>Thu</v>
      </c>
      <c r="BE3" s="253" t="str">
        <f t="shared" si="0"/>
        <v>Fri</v>
      </c>
      <c r="BF3" s="253" t="str">
        <f t="shared" si="0"/>
        <v>Sat</v>
      </c>
      <c r="BG3" s="253" t="str">
        <f t="shared" si="0"/>
        <v>Sun</v>
      </c>
      <c r="BH3" s="253" t="str">
        <f t="shared" si="0"/>
        <v>Mon</v>
      </c>
      <c r="BI3" s="253" t="str">
        <f t="shared" si="0"/>
        <v>Tue</v>
      </c>
      <c r="BJ3" s="253" t="str">
        <f t="shared" si="0"/>
        <v>Wed</v>
      </c>
      <c r="BK3" s="253" t="str">
        <f t="shared" si="0"/>
        <v>Thu</v>
      </c>
      <c r="BL3" s="253" t="str">
        <f t="shared" si="0"/>
        <v>Fri</v>
      </c>
      <c r="BM3" s="253" t="str">
        <f t="shared" si="0"/>
        <v>Sat</v>
      </c>
    </row>
    <row r="4" spans="1:65" ht="14.45">
      <c r="A4" s="285" t="s">
        <v>354</v>
      </c>
      <c r="B4" s="287" t="s">
        <v>355</v>
      </c>
      <c r="C4" s="288" t="s">
        <v>356</v>
      </c>
      <c r="D4" s="265" t="s">
        <v>357</v>
      </c>
      <c r="E4" s="254" t="s">
        <v>357</v>
      </c>
      <c r="F4" s="254" t="s">
        <v>357</v>
      </c>
      <c r="G4" s="254" t="s">
        <v>357</v>
      </c>
      <c r="H4" s="254" t="s">
        <v>357</v>
      </c>
      <c r="I4" s="254" t="s">
        <v>357</v>
      </c>
      <c r="J4" s="254" t="s">
        <v>357</v>
      </c>
      <c r="K4" s="255" t="s">
        <v>358</v>
      </c>
      <c r="L4" s="255" t="s">
        <v>358</v>
      </c>
      <c r="M4" s="255" t="s">
        <v>358</v>
      </c>
      <c r="N4" s="255" t="s">
        <v>358</v>
      </c>
      <c r="O4" s="255" t="s">
        <v>358</v>
      </c>
      <c r="P4" s="256" t="s">
        <v>359</v>
      </c>
      <c r="Q4" s="256" t="s">
        <v>359</v>
      </c>
      <c r="R4" s="255" t="s">
        <v>358</v>
      </c>
      <c r="S4" s="255" t="s">
        <v>358</v>
      </c>
      <c r="T4" s="255" t="s">
        <v>358</v>
      </c>
      <c r="U4" s="255" t="s">
        <v>358</v>
      </c>
      <c r="V4" s="255" t="s">
        <v>358</v>
      </c>
      <c r="W4" s="256" t="s">
        <v>359</v>
      </c>
      <c r="X4" s="256" t="s">
        <v>359</v>
      </c>
      <c r="Y4" s="257" t="s">
        <v>360</v>
      </c>
      <c r="Z4" s="257" t="s">
        <v>360</v>
      </c>
      <c r="AA4" s="257" t="s">
        <v>360</v>
      </c>
      <c r="AB4" s="258" t="s">
        <v>361</v>
      </c>
      <c r="AC4" s="258" t="s">
        <v>361</v>
      </c>
      <c r="AD4" s="256" t="s">
        <v>359</v>
      </c>
      <c r="AE4" s="256" t="s">
        <v>359</v>
      </c>
      <c r="AF4" s="257" t="s">
        <v>360</v>
      </c>
      <c r="AG4" s="257" t="s">
        <v>360</v>
      </c>
      <c r="AH4" s="257" t="s">
        <v>360</v>
      </c>
      <c r="AI4" s="254" t="s">
        <v>357</v>
      </c>
      <c r="AJ4" s="254" t="s">
        <v>357</v>
      </c>
      <c r="AK4" s="256" t="s">
        <v>359</v>
      </c>
      <c r="AL4" s="256" t="s">
        <v>359</v>
      </c>
      <c r="AM4" s="254" t="s">
        <v>357</v>
      </c>
      <c r="AN4" s="254" t="s">
        <v>357</v>
      </c>
      <c r="AO4" s="254" t="s">
        <v>357</v>
      </c>
      <c r="AP4" s="256" t="s">
        <v>359</v>
      </c>
      <c r="AQ4" s="256" t="s">
        <v>359</v>
      </c>
      <c r="AR4" s="254" t="s">
        <v>357</v>
      </c>
      <c r="AS4" s="254" t="s">
        <v>357</v>
      </c>
      <c r="AT4" s="254" t="s">
        <v>357</v>
      </c>
      <c r="AU4" s="254" t="s">
        <v>357</v>
      </c>
      <c r="AV4" s="254" t="s">
        <v>357</v>
      </c>
      <c r="AW4" s="254" t="s">
        <v>357</v>
      </c>
      <c r="AX4" s="256" t="s">
        <v>359</v>
      </c>
      <c r="AY4" s="256" t="s">
        <v>359</v>
      </c>
      <c r="AZ4" s="254" t="s">
        <v>357</v>
      </c>
      <c r="BA4" s="254" t="s">
        <v>357</v>
      </c>
      <c r="BB4" s="254" t="s">
        <v>357</v>
      </c>
      <c r="BC4" s="254" t="s">
        <v>357</v>
      </c>
      <c r="BD4" s="254" t="s">
        <v>357</v>
      </c>
      <c r="BE4" s="254" t="s">
        <v>357</v>
      </c>
      <c r="BF4" s="256" t="s">
        <v>359</v>
      </c>
      <c r="BG4" s="256" t="s">
        <v>359</v>
      </c>
      <c r="BH4" s="254" t="s">
        <v>357</v>
      </c>
      <c r="BI4" s="254" t="s">
        <v>357</v>
      </c>
      <c r="BJ4" s="254" t="s">
        <v>357</v>
      </c>
      <c r="BK4" s="254" t="s">
        <v>357</v>
      </c>
      <c r="BL4" s="256" t="s">
        <v>359</v>
      </c>
      <c r="BM4" s="256" t="s">
        <v>359</v>
      </c>
    </row>
    <row r="5" spans="1:65" ht="14.45">
      <c r="A5" s="286" t="s">
        <v>362</v>
      </c>
      <c r="B5" s="289" t="s">
        <v>363</v>
      </c>
      <c r="C5" s="288" t="s">
        <v>364</v>
      </c>
      <c r="D5" s="265" t="s">
        <v>357</v>
      </c>
      <c r="E5" s="254" t="s">
        <v>357</v>
      </c>
      <c r="F5" s="254" t="s">
        <v>357</v>
      </c>
      <c r="G5" s="254" t="s">
        <v>357</v>
      </c>
      <c r="H5" s="258" t="s">
        <v>361</v>
      </c>
      <c r="I5" s="256" t="s">
        <v>359</v>
      </c>
      <c r="J5" s="256" t="s">
        <v>359</v>
      </c>
      <c r="K5" s="257" t="s">
        <v>360</v>
      </c>
      <c r="L5" s="257" t="s">
        <v>360</v>
      </c>
      <c r="M5" s="254" t="s">
        <v>357</v>
      </c>
      <c r="N5" s="254" t="s">
        <v>357</v>
      </c>
      <c r="O5" s="254" t="s">
        <v>357</v>
      </c>
      <c r="P5" s="256" t="s">
        <v>359</v>
      </c>
      <c r="Q5" s="256" t="s">
        <v>359</v>
      </c>
      <c r="R5" s="257" t="s">
        <v>360</v>
      </c>
      <c r="S5" s="257" t="s">
        <v>360</v>
      </c>
      <c r="T5" s="257" t="s">
        <v>360</v>
      </c>
      <c r="U5" s="257" t="s">
        <v>360</v>
      </c>
      <c r="V5" s="257" t="s">
        <v>360</v>
      </c>
      <c r="W5" s="256" t="s">
        <v>359</v>
      </c>
      <c r="X5" s="256" t="s">
        <v>359</v>
      </c>
      <c r="Y5" s="255" t="s">
        <v>358</v>
      </c>
      <c r="Z5" s="255" t="s">
        <v>358</v>
      </c>
      <c r="AA5" s="255" t="s">
        <v>358</v>
      </c>
      <c r="AB5" s="255" t="s">
        <v>358</v>
      </c>
      <c r="AC5" s="255" t="s">
        <v>358</v>
      </c>
      <c r="AD5" s="256" t="s">
        <v>359</v>
      </c>
      <c r="AE5" s="256" t="s">
        <v>359</v>
      </c>
      <c r="AF5" s="276" t="s">
        <v>357</v>
      </c>
      <c r="AG5" s="276" t="s">
        <v>357</v>
      </c>
      <c r="AH5" s="276" t="s">
        <v>357</v>
      </c>
      <c r="AI5" s="257" t="s">
        <v>360</v>
      </c>
      <c r="AJ5" s="257" t="s">
        <v>360</v>
      </c>
      <c r="AK5" s="257" t="s">
        <v>360</v>
      </c>
      <c r="AL5" s="257" t="s">
        <v>360</v>
      </c>
      <c r="AM5" s="256" t="s">
        <v>359</v>
      </c>
      <c r="AN5" s="256" t="s">
        <v>359</v>
      </c>
      <c r="AO5" s="257" t="s">
        <v>360</v>
      </c>
      <c r="AP5" s="257" t="s">
        <v>360</v>
      </c>
      <c r="AQ5" s="257" t="s">
        <v>360</v>
      </c>
      <c r="AR5" s="257" t="s">
        <v>360</v>
      </c>
      <c r="AS5" s="257" t="s">
        <v>360</v>
      </c>
      <c r="AT5" s="257" t="s">
        <v>360</v>
      </c>
      <c r="AU5" s="257" t="s">
        <v>360</v>
      </c>
      <c r="AV5" s="257" t="s">
        <v>360</v>
      </c>
      <c r="AW5" s="257" t="s">
        <v>360</v>
      </c>
      <c r="AX5" s="257" t="s">
        <v>360</v>
      </c>
      <c r="AY5" s="256" t="s">
        <v>359</v>
      </c>
      <c r="AZ5" s="256" t="s">
        <v>359</v>
      </c>
      <c r="BA5" s="257" t="s">
        <v>360</v>
      </c>
      <c r="BB5" s="257" t="s">
        <v>360</v>
      </c>
      <c r="BC5" s="257" t="s">
        <v>360</v>
      </c>
      <c r="BD5" s="257" t="s">
        <v>360</v>
      </c>
      <c r="BE5" s="257" t="s">
        <v>360</v>
      </c>
      <c r="BF5" s="256" t="s">
        <v>359</v>
      </c>
      <c r="BG5" s="256" t="s">
        <v>359</v>
      </c>
      <c r="BH5" s="257" t="s">
        <v>360</v>
      </c>
      <c r="BI5" s="257" t="s">
        <v>360</v>
      </c>
      <c r="BJ5" s="257" t="s">
        <v>360</v>
      </c>
      <c r="BK5" s="257" t="s">
        <v>360</v>
      </c>
      <c r="BL5" s="257" t="s">
        <v>360</v>
      </c>
      <c r="BM5" s="256" t="s">
        <v>359</v>
      </c>
    </row>
    <row r="6" spans="1:65" ht="14.45">
      <c r="A6" s="286" t="s">
        <v>365</v>
      </c>
      <c r="B6" s="289" t="s">
        <v>366</v>
      </c>
      <c r="C6" s="288" t="s">
        <v>367</v>
      </c>
      <c r="D6" s="266" t="s">
        <v>358</v>
      </c>
      <c r="E6" s="255" t="s">
        <v>358</v>
      </c>
      <c r="F6" s="255" t="s">
        <v>358</v>
      </c>
      <c r="G6" s="255" t="s">
        <v>358</v>
      </c>
      <c r="H6" s="255" t="s">
        <v>358</v>
      </c>
      <c r="I6" s="255" t="s">
        <v>358</v>
      </c>
      <c r="J6" s="255" t="s">
        <v>358</v>
      </c>
      <c r="K6" s="256" t="s">
        <v>359</v>
      </c>
      <c r="L6" s="256" t="s">
        <v>359</v>
      </c>
      <c r="M6" s="257" t="s">
        <v>360</v>
      </c>
      <c r="N6" s="257" t="s">
        <v>360</v>
      </c>
      <c r="O6" s="257" t="s">
        <v>360</v>
      </c>
      <c r="P6" s="256" t="s">
        <v>359</v>
      </c>
      <c r="Q6" s="256" t="s">
        <v>359</v>
      </c>
      <c r="R6" s="254" t="s">
        <v>357</v>
      </c>
      <c r="S6" s="254" t="s">
        <v>357</v>
      </c>
      <c r="T6" s="254" t="s">
        <v>357</v>
      </c>
      <c r="U6" s="254" t="s">
        <v>357</v>
      </c>
      <c r="V6" s="258" t="s">
        <v>361</v>
      </c>
      <c r="W6" s="256" t="s">
        <v>359</v>
      </c>
      <c r="X6" s="256" t="s">
        <v>359</v>
      </c>
      <c r="Y6" s="254" t="s">
        <v>357</v>
      </c>
      <c r="Z6" s="254" t="s">
        <v>357</v>
      </c>
      <c r="AA6" s="254" t="s">
        <v>357</v>
      </c>
      <c r="AB6" s="258" t="s">
        <v>361</v>
      </c>
      <c r="AC6" s="254" t="s">
        <v>357</v>
      </c>
      <c r="AD6" s="256" t="s">
        <v>359</v>
      </c>
      <c r="AE6" s="256" t="s">
        <v>359</v>
      </c>
      <c r="AF6" s="255" t="s">
        <v>358</v>
      </c>
      <c r="AG6" s="255" t="s">
        <v>358</v>
      </c>
      <c r="AH6" s="255" t="s">
        <v>358</v>
      </c>
      <c r="AI6" s="255" t="s">
        <v>358</v>
      </c>
      <c r="AJ6" s="255" t="s">
        <v>358</v>
      </c>
      <c r="AK6" s="255" t="s">
        <v>358</v>
      </c>
      <c r="AL6" s="255" t="s">
        <v>358</v>
      </c>
      <c r="AM6" s="255" t="s">
        <v>358</v>
      </c>
      <c r="AN6" s="256" t="s">
        <v>359</v>
      </c>
      <c r="AO6" s="256" t="s">
        <v>359</v>
      </c>
      <c r="AP6" s="255" t="s">
        <v>358</v>
      </c>
      <c r="AQ6" s="255" t="s">
        <v>358</v>
      </c>
      <c r="AR6" s="255" t="s">
        <v>358</v>
      </c>
      <c r="AS6" s="255" t="s">
        <v>358</v>
      </c>
      <c r="AT6" s="255" t="s">
        <v>358</v>
      </c>
      <c r="AU6" s="255" t="s">
        <v>358</v>
      </c>
      <c r="AV6" s="256" t="s">
        <v>359</v>
      </c>
      <c r="AW6" s="256" t="s">
        <v>359</v>
      </c>
      <c r="AX6" s="255" t="s">
        <v>358</v>
      </c>
      <c r="AY6" s="255" t="s">
        <v>358</v>
      </c>
      <c r="AZ6" s="255" t="s">
        <v>358</v>
      </c>
      <c r="BA6" s="255" t="s">
        <v>358</v>
      </c>
      <c r="BB6" s="255" t="s">
        <v>358</v>
      </c>
      <c r="BC6" s="256" t="s">
        <v>359</v>
      </c>
      <c r="BD6" s="256" t="s">
        <v>359</v>
      </c>
      <c r="BE6" s="255" t="s">
        <v>358</v>
      </c>
      <c r="BF6" s="255" t="s">
        <v>358</v>
      </c>
      <c r="BG6" s="255" t="s">
        <v>358</v>
      </c>
      <c r="BH6" s="255" t="s">
        <v>358</v>
      </c>
      <c r="BI6" s="256" t="s">
        <v>359</v>
      </c>
      <c r="BJ6" s="256" t="s">
        <v>359</v>
      </c>
      <c r="BK6" s="255" t="s">
        <v>358</v>
      </c>
      <c r="BL6" s="255" t="s">
        <v>358</v>
      </c>
      <c r="BM6" s="255" t="s">
        <v>358</v>
      </c>
    </row>
    <row r="7" spans="1:65" ht="14.45">
      <c r="A7" s="260" t="s">
        <v>368</v>
      </c>
      <c r="B7" s="270" t="s">
        <v>369</v>
      </c>
      <c r="C7" s="267" t="s">
        <v>370</v>
      </c>
      <c r="D7" s="266" t="s">
        <v>358</v>
      </c>
      <c r="E7" s="255" t="s">
        <v>358</v>
      </c>
      <c r="F7" s="256" t="s">
        <v>359</v>
      </c>
      <c r="G7" s="256" t="s">
        <v>359</v>
      </c>
      <c r="H7" s="255" t="s">
        <v>358</v>
      </c>
      <c r="I7" s="255" t="s">
        <v>358</v>
      </c>
      <c r="J7" s="255" t="s">
        <v>358</v>
      </c>
      <c r="K7" s="255" t="s">
        <v>358</v>
      </c>
      <c r="L7" s="255" t="s">
        <v>358</v>
      </c>
      <c r="M7" s="256" t="s">
        <v>359</v>
      </c>
      <c r="N7" s="256" t="s">
        <v>359</v>
      </c>
      <c r="O7" s="255" t="s">
        <v>358</v>
      </c>
      <c r="P7" s="255" t="s">
        <v>358</v>
      </c>
      <c r="Q7" s="255" t="s">
        <v>358</v>
      </c>
      <c r="R7" s="255" t="s">
        <v>358</v>
      </c>
      <c r="S7" s="255" t="s">
        <v>358</v>
      </c>
      <c r="T7" s="256" t="s">
        <v>359</v>
      </c>
      <c r="U7" s="256" t="s">
        <v>359</v>
      </c>
      <c r="V7" s="255" t="s">
        <v>358</v>
      </c>
      <c r="W7" s="255" t="s">
        <v>358</v>
      </c>
      <c r="X7" s="255" t="s">
        <v>358</v>
      </c>
      <c r="Y7" s="255" t="s">
        <v>358</v>
      </c>
      <c r="Z7" s="255" t="s">
        <v>358</v>
      </c>
      <c r="AA7" s="256" t="s">
        <v>359</v>
      </c>
      <c r="AB7" s="256" t="s">
        <v>359</v>
      </c>
      <c r="AC7" s="255" t="s">
        <v>358</v>
      </c>
      <c r="AD7" s="255" t="s">
        <v>358</v>
      </c>
      <c r="AE7" s="255" t="s">
        <v>358</v>
      </c>
      <c r="AF7" s="255" t="s">
        <v>358</v>
      </c>
      <c r="AG7" s="255" t="s">
        <v>358</v>
      </c>
      <c r="AH7" s="256" t="s">
        <v>359</v>
      </c>
      <c r="AI7" s="256" t="s">
        <v>359</v>
      </c>
      <c r="AJ7" s="256" t="s">
        <v>359</v>
      </c>
      <c r="AK7" s="254" t="s">
        <v>357</v>
      </c>
      <c r="AL7" s="254" t="s">
        <v>357</v>
      </c>
      <c r="AM7" s="254" t="s">
        <v>357</v>
      </c>
      <c r="AN7" s="254" t="s">
        <v>357</v>
      </c>
      <c r="AO7" s="254" t="s">
        <v>357</v>
      </c>
      <c r="AP7" s="254" t="s">
        <v>357</v>
      </c>
      <c r="AQ7" s="254" t="s">
        <v>357</v>
      </c>
      <c r="AR7" s="256" t="s">
        <v>359</v>
      </c>
      <c r="AS7" s="256" t="s">
        <v>359</v>
      </c>
      <c r="AT7" s="254" t="s">
        <v>357</v>
      </c>
      <c r="AU7" s="256" t="s">
        <v>359</v>
      </c>
      <c r="AV7" s="256" t="s">
        <v>359</v>
      </c>
      <c r="AW7" s="254" t="s">
        <v>357</v>
      </c>
      <c r="AX7" s="254" t="s">
        <v>357</v>
      </c>
      <c r="AY7" s="254" t="s">
        <v>357</v>
      </c>
      <c r="AZ7" s="254" t="s">
        <v>357</v>
      </c>
      <c r="BA7" s="254" t="s">
        <v>357</v>
      </c>
      <c r="BB7" s="256" t="s">
        <v>359</v>
      </c>
      <c r="BC7" s="256" t="s">
        <v>359</v>
      </c>
      <c r="BD7" s="254" t="s">
        <v>357</v>
      </c>
      <c r="BE7" s="254" t="s">
        <v>357</v>
      </c>
      <c r="BF7" s="254" t="s">
        <v>357</v>
      </c>
      <c r="BG7" s="254" t="s">
        <v>357</v>
      </c>
      <c r="BH7" s="254" t="s">
        <v>357</v>
      </c>
      <c r="BI7" s="256" t="s">
        <v>359</v>
      </c>
      <c r="BJ7" s="256" t="s">
        <v>359</v>
      </c>
      <c r="BK7" s="254" t="s">
        <v>357</v>
      </c>
      <c r="BL7" s="254" t="s">
        <v>357</v>
      </c>
      <c r="BM7" s="254" t="s">
        <v>357</v>
      </c>
    </row>
    <row r="8" spans="1:65" ht="14.45">
      <c r="A8" s="271" t="s">
        <v>371</v>
      </c>
      <c r="B8" s="272" t="s">
        <v>372</v>
      </c>
      <c r="C8" s="273" t="s">
        <v>373</v>
      </c>
      <c r="D8" s="275" t="s">
        <v>357</v>
      </c>
      <c r="E8" s="276" t="s">
        <v>357</v>
      </c>
      <c r="F8" s="277" t="s">
        <v>359</v>
      </c>
      <c r="G8" s="277" t="s">
        <v>359</v>
      </c>
      <c r="H8" s="276" t="s">
        <v>357</v>
      </c>
      <c r="I8" s="276" t="s">
        <v>357</v>
      </c>
      <c r="J8" s="276" t="s">
        <v>357</v>
      </c>
      <c r="K8" s="276" t="s">
        <v>357</v>
      </c>
      <c r="L8" s="276" t="s">
        <v>357</v>
      </c>
      <c r="M8" s="277" t="s">
        <v>359</v>
      </c>
      <c r="N8" s="277" t="s">
        <v>359</v>
      </c>
      <c r="O8" s="276" t="s">
        <v>357</v>
      </c>
      <c r="P8" s="276" t="s">
        <v>357</v>
      </c>
      <c r="Q8" s="276" t="s">
        <v>357</v>
      </c>
      <c r="R8" s="276" t="s">
        <v>357</v>
      </c>
      <c r="S8" s="276" t="s">
        <v>357</v>
      </c>
      <c r="T8" s="277" t="s">
        <v>359</v>
      </c>
      <c r="U8" s="277" t="s">
        <v>359</v>
      </c>
      <c r="V8" s="276" t="s">
        <v>357</v>
      </c>
      <c r="W8" s="276" t="s">
        <v>357</v>
      </c>
      <c r="X8" s="276" t="s">
        <v>357</v>
      </c>
      <c r="Y8" s="276" t="s">
        <v>357</v>
      </c>
      <c r="Z8" s="277" t="s">
        <v>359</v>
      </c>
      <c r="AA8" s="277" t="s">
        <v>359</v>
      </c>
      <c r="AB8" s="276" t="s">
        <v>357</v>
      </c>
      <c r="AC8" s="276" t="s">
        <v>357</v>
      </c>
      <c r="AD8" s="276" t="s">
        <v>357</v>
      </c>
      <c r="AE8" s="276" t="s">
        <v>357</v>
      </c>
      <c r="AF8" s="276" t="s">
        <v>357</v>
      </c>
      <c r="AG8" s="276" t="s">
        <v>357</v>
      </c>
      <c r="AH8" s="277" t="s">
        <v>359</v>
      </c>
      <c r="AI8" s="255" t="s">
        <v>358</v>
      </c>
      <c r="AJ8" s="255" t="s">
        <v>358</v>
      </c>
      <c r="AK8" s="256" t="s">
        <v>359</v>
      </c>
      <c r="AL8" s="256" t="s">
        <v>359</v>
      </c>
      <c r="AM8" s="255" t="s">
        <v>358</v>
      </c>
      <c r="AN8" s="255" t="s">
        <v>358</v>
      </c>
      <c r="AO8" s="255" t="s">
        <v>358</v>
      </c>
      <c r="AP8" s="255" t="s">
        <v>358</v>
      </c>
      <c r="AQ8" s="255" t="s">
        <v>358</v>
      </c>
      <c r="AR8" s="256" t="s">
        <v>359</v>
      </c>
      <c r="AS8" s="256" t="s">
        <v>359</v>
      </c>
      <c r="AT8" s="255" t="s">
        <v>358</v>
      </c>
      <c r="AU8" s="255" t="s">
        <v>358</v>
      </c>
      <c r="AV8" s="256" t="s">
        <v>359</v>
      </c>
      <c r="AW8" s="256" t="s">
        <v>359</v>
      </c>
      <c r="AX8" s="255" t="s">
        <v>358</v>
      </c>
      <c r="AY8" s="255" t="s">
        <v>358</v>
      </c>
      <c r="AZ8" s="255" t="s">
        <v>358</v>
      </c>
      <c r="BA8" s="255" t="s">
        <v>358</v>
      </c>
      <c r="BB8" s="255" t="s">
        <v>358</v>
      </c>
      <c r="BC8" s="255" t="s">
        <v>358</v>
      </c>
      <c r="BD8" s="255" t="s">
        <v>358</v>
      </c>
      <c r="BE8" s="255" t="s">
        <v>358</v>
      </c>
      <c r="BF8" s="256" t="s">
        <v>359</v>
      </c>
      <c r="BG8" s="256" t="s">
        <v>359</v>
      </c>
      <c r="BH8" s="255" t="s">
        <v>358</v>
      </c>
      <c r="BI8" s="255" t="s">
        <v>358</v>
      </c>
      <c r="BJ8" s="255" t="s">
        <v>358</v>
      </c>
      <c r="BK8" s="255" t="s">
        <v>358</v>
      </c>
      <c r="BL8" s="255" t="s">
        <v>358</v>
      </c>
      <c r="BM8" s="256" t="s">
        <v>359</v>
      </c>
    </row>
    <row r="9" spans="1:65" ht="14.45">
      <c r="A9" s="260" t="s">
        <v>374</v>
      </c>
      <c r="B9" s="272" t="s">
        <v>375</v>
      </c>
      <c r="C9" s="263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76" t="s">
        <v>357</v>
      </c>
      <c r="S9" s="276" t="s">
        <v>357</v>
      </c>
      <c r="T9" s="277" t="s">
        <v>359</v>
      </c>
      <c r="U9" s="277" t="s">
        <v>359</v>
      </c>
      <c r="V9" s="276" t="s">
        <v>357</v>
      </c>
      <c r="W9" s="276" t="s">
        <v>357</v>
      </c>
      <c r="X9" s="276" t="s">
        <v>357</v>
      </c>
      <c r="Y9" s="276" t="s">
        <v>357</v>
      </c>
      <c r="Z9" s="277" t="s">
        <v>359</v>
      </c>
      <c r="AA9" s="277" t="s">
        <v>359</v>
      </c>
      <c r="AB9" s="276" t="s">
        <v>357</v>
      </c>
      <c r="AC9" s="276" t="s">
        <v>357</v>
      </c>
      <c r="AD9" s="276" t="s">
        <v>357</v>
      </c>
      <c r="AE9" s="276" t="s">
        <v>357</v>
      </c>
      <c r="AF9" s="276" t="s">
        <v>357</v>
      </c>
      <c r="AG9" s="277" t="s">
        <v>359</v>
      </c>
      <c r="AH9" s="277" t="s">
        <v>359</v>
      </c>
    </row>
    <row r="10" spans="1:65" ht="14.45">
      <c r="A10" s="260" t="s">
        <v>376</v>
      </c>
      <c r="B10" s="270" t="s">
        <v>377</v>
      </c>
      <c r="C10" s="263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76" t="s">
        <v>357</v>
      </c>
      <c r="S10" s="276" t="s">
        <v>357</v>
      </c>
      <c r="T10" s="276" t="s">
        <v>357</v>
      </c>
      <c r="U10" s="276" t="s">
        <v>357</v>
      </c>
      <c r="V10" s="276" t="s">
        <v>357</v>
      </c>
      <c r="W10" s="277" t="s">
        <v>359</v>
      </c>
      <c r="X10" s="277" t="s">
        <v>359</v>
      </c>
      <c r="Y10" s="276" t="s">
        <v>357</v>
      </c>
      <c r="Z10" s="276" t="s">
        <v>357</v>
      </c>
      <c r="AA10" s="276" t="s">
        <v>357</v>
      </c>
      <c r="AB10" s="276" t="s">
        <v>357</v>
      </c>
      <c r="AC10" s="276" t="s">
        <v>357</v>
      </c>
      <c r="AD10" s="277" t="s">
        <v>359</v>
      </c>
      <c r="AE10" s="277" t="s">
        <v>359</v>
      </c>
      <c r="AF10" s="276" t="s">
        <v>357</v>
      </c>
      <c r="AG10" s="276" t="s">
        <v>357</v>
      </c>
      <c r="AH10" s="274"/>
    </row>
    <row r="11" spans="1:65" ht="14.45"/>
    <row r="12" spans="1:65" ht="15" customHeight="1">
      <c r="D12" s="261"/>
    </row>
    <row r="13" spans="1:65" ht="57" customHeight="1">
      <c r="D13" s="262"/>
    </row>
    <row r="14" spans="1:65" ht="54.95" customHeight="1">
      <c r="A14" s="746" t="s">
        <v>378</v>
      </c>
      <c r="B14" s="747"/>
      <c r="D14" s="262"/>
    </row>
    <row r="15" spans="1:65" ht="60.6" customHeight="1">
      <c r="A15" s="257" t="s">
        <v>360</v>
      </c>
      <c r="B15" s="259" t="s">
        <v>379</v>
      </c>
      <c r="D15" s="262"/>
    </row>
    <row r="16" spans="1:65" ht="43.5">
      <c r="A16" s="268" t="s">
        <v>357</v>
      </c>
      <c r="B16" s="259" t="s">
        <v>380</v>
      </c>
    </row>
    <row r="17" spans="1:2" ht="15" customHeight="1">
      <c r="A17" s="269" t="s">
        <v>358</v>
      </c>
      <c r="B17" s="259" t="s">
        <v>381</v>
      </c>
    </row>
  </sheetData>
  <mergeCells count="5">
    <mergeCell ref="A2:A3"/>
    <mergeCell ref="B2:B3"/>
    <mergeCell ref="C1:AH1"/>
    <mergeCell ref="A14:B14"/>
    <mergeCell ref="C2:C3"/>
  </mergeCells>
  <hyperlinks>
    <hyperlink ref="B4" r:id="rId1" xr:uid="{3441DA7C-46E2-480E-AC71-179668147070}"/>
    <hyperlink ref="B5" r:id="rId2" xr:uid="{5A9FC491-3329-4F5E-9A4D-35446D426504}"/>
    <hyperlink ref="B6" r:id="rId3" xr:uid="{C85D3C42-57AA-4C51-88F3-0DFEC869D7CB}"/>
    <hyperlink ref="B7" r:id="rId4" xr:uid="{7A1A010E-EB48-4A5D-B696-B5638F609275}"/>
    <hyperlink ref="B8" r:id="rId5" xr:uid="{6B00E703-78D9-470C-964D-F3FFE509B8AE}"/>
    <hyperlink ref="B10" r:id="rId6" xr:uid="{4C433311-8C90-471C-8727-079BB5FEA9E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D3C9-36EF-459D-897A-AEB63561FA38}">
  <sheetPr>
    <tabColor rgb="FFC00000"/>
  </sheetPr>
  <dimension ref="A1:S36"/>
  <sheetViews>
    <sheetView zoomScale="80" zoomScaleNormal="80" workbookViewId="0">
      <pane xSplit="2" topLeftCell="E1" activePane="topRight" state="frozen"/>
      <selection pane="topRight" activeCell="G13" sqref="G13"/>
    </sheetView>
  </sheetViews>
  <sheetFormatPr defaultRowHeight="15" customHeight="1"/>
  <cols>
    <col min="1" max="1" width="14.140625" customWidth="1"/>
    <col min="2" max="2" width="40.7109375" customWidth="1"/>
    <col min="3" max="3" width="55.42578125" bestFit="1" customWidth="1"/>
    <col min="4" max="4" width="11.28515625" customWidth="1"/>
    <col min="5" max="5" width="35.85546875" style="124" bestFit="1" customWidth="1"/>
    <col min="6" max="6" width="14.5703125" style="430" customWidth="1"/>
    <col min="7" max="7" width="49.5703125" bestFit="1" customWidth="1"/>
    <col min="8" max="8" width="30.42578125" hidden="1" customWidth="1"/>
    <col min="9" max="9" width="32.5703125" customWidth="1"/>
    <col min="10" max="11" width="29" customWidth="1"/>
    <col min="12" max="12" width="18.140625" bestFit="1" customWidth="1"/>
    <col min="13" max="13" width="29" customWidth="1"/>
    <col min="14" max="14" width="36.5703125" customWidth="1"/>
    <col min="15" max="15" width="29" customWidth="1"/>
    <col min="16" max="16" width="45.7109375" customWidth="1"/>
    <col min="17" max="17" width="28" customWidth="1"/>
    <col min="18" max="18" width="26.140625" customWidth="1"/>
    <col min="19" max="19" width="13.42578125" customWidth="1"/>
  </cols>
  <sheetData>
    <row r="1" spans="1:19" ht="29.25">
      <c r="A1" s="1" t="s">
        <v>0</v>
      </c>
      <c r="B1" s="2" t="s">
        <v>1</v>
      </c>
      <c r="C1" s="2" t="s">
        <v>382</v>
      </c>
      <c r="D1" s="2" t="s">
        <v>6</v>
      </c>
      <c r="E1" s="645" t="s">
        <v>2</v>
      </c>
      <c r="F1" s="2" t="s">
        <v>383</v>
      </c>
      <c r="G1" s="80" t="s">
        <v>3</v>
      </c>
      <c r="H1" s="2" t="s">
        <v>4</v>
      </c>
      <c r="I1" s="2" t="s">
        <v>5</v>
      </c>
      <c r="J1" s="2" t="s">
        <v>384</v>
      </c>
      <c r="K1" s="454" t="s">
        <v>385</v>
      </c>
      <c r="L1" s="454" t="s">
        <v>386</v>
      </c>
      <c r="M1" s="454" t="s">
        <v>387</v>
      </c>
      <c r="N1" s="454" t="s">
        <v>388</v>
      </c>
      <c r="O1" s="454" t="s">
        <v>389</v>
      </c>
      <c r="Q1" s="718" t="s">
        <v>390</v>
      </c>
      <c r="R1" s="718" t="s">
        <v>391</v>
      </c>
      <c r="S1" t="s">
        <v>392</v>
      </c>
    </row>
    <row r="2" spans="1:19" ht="39">
      <c r="A2" s="649">
        <v>906</v>
      </c>
      <c r="B2" s="3" t="s">
        <v>393</v>
      </c>
      <c r="C2" s="3" t="s">
        <v>394</v>
      </c>
      <c r="D2" s="6" t="s">
        <v>12</v>
      </c>
      <c r="E2" s="244" t="s">
        <v>15</v>
      </c>
      <c r="F2" s="427" t="s">
        <v>395</v>
      </c>
      <c r="G2" s="510" t="s">
        <v>77</v>
      </c>
      <c r="H2" s="458" t="s">
        <v>396</v>
      </c>
      <c r="I2" s="6" t="s">
        <v>396</v>
      </c>
      <c r="J2" s="455" t="s">
        <v>287</v>
      </c>
      <c r="K2" s="455" t="s">
        <v>397</v>
      </c>
      <c r="L2" s="6" t="s">
        <v>398</v>
      </c>
      <c r="M2" s="3" t="s">
        <v>399</v>
      </c>
      <c r="N2" s="516">
        <v>491725346044</v>
      </c>
      <c r="O2" s="3"/>
    </row>
    <row r="3" spans="1:19" ht="26.1">
      <c r="A3" s="649">
        <v>116</v>
      </c>
      <c r="B3" s="3" t="s">
        <v>76</v>
      </c>
      <c r="C3" s="77" t="s">
        <v>394</v>
      </c>
      <c r="D3" s="6" t="s">
        <v>12</v>
      </c>
      <c r="E3" s="77" t="s">
        <v>15</v>
      </c>
      <c r="F3" s="428" t="s">
        <v>395</v>
      </c>
      <c r="G3" s="104" t="s">
        <v>77</v>
      </c>
      <c r="H3" s="458" t="s">
        <v>396</v>
      </c>
      <c r="I3" s="6" t="s">
        <v>396</v>
      </c>
      <c r="J3" s="3" t="s">
        <v>232</v>
      </c>
      <c r="K3" s="3" t="s">
        <v>397</v>
      </c>
      <c r="L3" s="6" t="s">
        <v>398</v>
      </c>
      <c r="M3" s="3" t="s">
        <v>399</v>
      </c>
      <c r="N3" s="516">
        <v>491725346044</v>
      </c>
      <c r="O3" s="3"/>
    </row>
    <row r="4" spans="1:19" ht="26.1">
      <c r="A4" s="649">
        <v>907</v>
      </c>
      <c r="B4" s="3" t="s">
        <v>110</v>
      </c>
      <c r="C4" s="77" t="s">
        <v>394</v>
      </c>
      <c r="D4" s="6" t="s">
        <v>12</v>
      </c>
      <c r="E4" s="77" t="s">
        <v>15</v>
      </c>
      <c r="F4" s="428" t="s">
        <v>395</v>
      </c>
      <c r="G4" s="104" t="s">
        <v>77</v>
      </c>
      <c r="H4" s="6" t="s">
        <v>396</v>
      </c>
      <c r="I4" s="6" t="s">
        <v>396</v>
      </c>
      <c r="J4" s="3" t="s">
        <v>400</v>
      </c>
      <c r="K4" s="3" t="s">
        <v>397</v>
      </c>
      <c r="L4" s="6" t="s">
        <v>398</v>
      </c>
      <c r="M4" s="3" t="s">
        <v>399</v>
      </c>
      <c r="N4" s="517">
        <v>491725346044</v>
      </c>
      <c r="O4" s="3"/>
    </row>
    <row r="5" spans="1:19" ht="39">
      <c r="A5" s="649">
        <v>120</v>
      </c>
      <c r="B5" s="3" t="s">
        <v>40</v>
      </c>
      <c r="C5" s="77" t="s">
        <v>401</v>
      </c>
      <c r="D5" s="6" t="s">
        <v>12</v>
      </c>
      <c r="E5" s="77" t="s">
        <v>15</v>
      </c>
      <c r="F5" s="428" t="s">
        <v>395</v>
      </c>
      <c r="G5" s="104" t="s">
        <v>41</v>
      </c>
      <c r="H5" s="6" t="s">
        <v>396</v>
      </c>
      <c r="I5" s="6" t="s">
        <v>396</v>
      </c>
      <c r="J5" s="6" t="s">
        <v>402</v>
      </c>
      <c r="K5" s="6" t="s">
        <v>403</v>
      </c>
      <c r="L5" s="6" t="s">
        <v>398</v>
      </c>
      <c r="M5" s="3" t="s">
        <v>399</v>
      </c>
      <c r="N5" s="6"/>
      <c r="O5" s="6"/>
    </row>
    <row r="6" spans="1:19" ht="39">
      <c r="A6" s="649">
        <v>121</v>
      </c>
      <c r="B6" s="3" t="s">
        <v>44</v>
      </c>
      <c r="C6" s="77" t="s">
        <v>401</v>
      </c>
      <c r="D6" s="6" t="s">
        <v>12</v>
      </c>
      <c r="E6" s="77" t="s">
        <v>15</v>
      </c>
      <c r="F6" s="428" t="s">
        <v>395</v>
      </c>
      <c r="G6" s="104" t="s">
        <v>404</v>
      </c>
      <c r="H6" s="6" t="s">
        <v>396</v>
      </c>
      <c r="I6" s="6" t="s">
        <v>396</v>
      </c>
      <c r="J6" s="6" t="s">
        <v>402</v>
      </c>
      <c r="K6" s="6" t="s">
        <v>403</v>
      </c>
      <c r="L6" s="6" t="s">
        <v>398</v>
      </c>
      <c r="M6" s="3" t="s">
        <v>399</v>
      </c>
      <c r="N6" s="6"/>
      <c r="O6" s="6"/>
    </row>
    <row r="7" spans="1:19" ht="39">
      <c r="A7" s="649">
        <v>122</v>
      </c>
      <c r="B7" s="3" t="s">
        <v>45</v>
      </c>
      <c r="C7" s="77" t="s">
        <v>401</v>
      </c>
      <c r="D7" s="5" t="s">
        <v>19</v>
      </c>
      <c r="E7" s="77" t="s">
        <v>15</v>
      </c>
      <c r="F7" s="428" t="s">
        <v>395</v>
      </c>
      <c r="G7" s="104" t="s">
        <v>41</v>
      </c>
      <c r="H7" s="6" t="s">
        <v>396</v>
      </c>
      <c r="I7" s="6" t="s">
        <v>396</v>
      </c>
      <c r="J7" s="6" t="s">
        <v>402</v>
      </c>
      <c r="K7" s="6" t="s">
        <v>403</v>
      </c>
      <c r="L7" s="6" t="s">
        <v>398</v>
      </c>
      <c r="M7" s="3" t="s">
        <v>399</v>
      </c>
      <c r="N7" s="6"/>
      <c r="O7" s="6"/>
    </row>
    <row r="8" spans="1:19" ht="26.1">
      <c r="A8" s="649">
        <v>114</v>
      </c>
      <c r="B8" s="3" t="s">
        <v>87</v>
      </c>
      <c r="C8" s="77" t="s">
        <v>405</v>
      </c>
      <c r="D8" s="5" t="s">
        <v>27</v>
      </c>
      <c r="E8" s="78" t="s">
        <v>83</v>
      </c>
      <c r="F8" s="428" t="s">
        <v>395</v>
      </c>
      <c r="G8" s="283" t="s">
        <v>84</v>
      </c>
      <c r="H8" s="79" t="s">
        <v>85</v>
      </c>
      <c r="I8" s="6" t="s">
        <v>86</v>
      </c>
      <c r="J8" s="6" t="s">
        <v>406</v>
      </c>
      <c r="K8" s="6" t="s">
        <v>407</v>
      </c>
      <c r="L8" s="6" t="s">
        <v>398</v>
      </c>
      <c r="M8" s="6" t="s">
        <v>399</v>
      </c>
      <c r="N8" s="6" t="s">
        <v>408</v>
      </c>
      <c r="O8" s="6" t="s">
        <v>399</v>
      </c>
    </row>
    <row r="9" spans="1:19" ht="39">
      <c r="A9" s="649">
        <v>133</v>
      </c>
      <c r="B9" s="434" t="s">
        <v>88</v>
      </c>
      <c r="C9" s="77" t="s">
        <v>405</v>
      </c>
      <c r="D9" s="5" t="s">
        <v>27</v>
      </c>
      <c r="E9" s="78" t="s">
        <v>83</v>
      </c>
      <c r="F9" s="428" t="s">
        <v>395</v>
      </c>
      <c r="G9" s="528" t="s">
        <v>89</v>
      </c>
      <c r="H9" s="79" t="s">
        <v>85</v>
      </c>
      <c r="I9" s="458" t="s">
        <v>86</v>
      </c>
      <c r="J9" s="431" t="s">
        <v>409</v>
      </c>
      <c r="K9" s="431" t="s">
        <v>407</v>
      </c>
      <c r="L9" s="6" t="s">
        <v>398</v>
      </c>
      <c r="M9" s="431" t="s">
        <v>399</v>
      </c>
      <c r="N9" s="136" t="s">
        <v>408</v>
      </c>
      <c r="O9" s="431" t="s">
        <v>399</v>
      </c>
    </row>
    <row r="10" spans="1:19" ht="26.1">
      <c r="A10" s="649">
        <v>134</v>
      </c>
      <c r="B10" s="3" t="s">
        <v>90</v>
      </c>
      <c r="C10" s="77" t="s">
        <v>405</v>
      </c>
      <c r="D10" s="5" t="s">
        <v>27</v>
      </c>
      <c r="E10" s="78" t="s">
        <v>83</v>
      </c>
      <c r="F10" s="428" t="s">
        <v>395</v>
      </c>
      <c r="G10" s="100" t="s">
        <v>89</v>
      </c>
      <c r="H10" s="79" t="s">
        <v>85</v>
      </c>
      <c r="I10" s="6" t="s">
        <v>86</v>
      </c>
      <c r="J10" s="136" t="s">
        <v>406</v>
      </c>
      <c r="K10" s="136" t="s">
        <v>407</v>
      </c>
      <c r="L10" s="6" t="s">
        <v>398</v>
      </c>
      <c r="M10" s="136" t="s">
        <v>399</v>
      </c>
      <c r="N10" s="136" t="s">
        <v>408</v>
      </c>
      <c r="O10" s="136" t="s">
        <v>399</v>
      </c>
    </row>
    <row r="11" spans="1:19" ht="26.1">
      <c r="A11" s="649">
        <v>135</v>
      </c>
      <c r="B11" s="434" t="s">
        <v>91</v>
      </c>
      <c r="C11" s="77" t="s">
        <v>410</v>
      </c>
      <c r="D11" s="5" t="s">
        <v>27</v>
      </c>
      <c r="E11" s="78" t="s">
        <v>92</v>
      </c>
      <c r="F11" s="428" t="s">
        <v>395</v>
      </c>
      <c r="G11" s="652" t="s">
        <v>93</v>
      </c>
      <c r="H11" s="79" t="s">
        <v>85</v>
      </c>
      <c r="I11" s="6" t="s">
        <v>86</v>
      </c>
      <c r="J11" s="431" t="s">
        <v>406</v>
      </c>
      <c r="K11" s="431" t="s">
        <v>407</v>
      </c>
      <c r="L11" s="6" t="s">
        <v>398</v>
      </c>
      <c r="M11" s="431" t="s">
        <v>399</v>
      </c>
      <c r="N11" s="431" t="s">
        <v>411</v>
      </c>
      <c r="O11" s="431" t="s">
        <v>399</v>
      </c>
    </row>
    <row r="12" spans="1:19" ht="26.1">
      <c r="A12" s="649">
        <v>137</v>
      </c>
      <c r="B12" s="3" t="s">
        <v>94</v>
      </c>
      <c r="C12" s="77" t="s">
        <v>412</v>
      </c>
      <c r="D12" s="5" t="s">
        <v>27</v>
      </c>
      <c r="E12" s="77" t="s">
        <v>15</v>
      </c>
      <c r="F12" s="428" t="s">
        <v>395</v>
      </c>
      <c r="G12" s="643" t="s">
        <v>95</v>
      </c>
      <c r="H12" s="79" t="s">
        <v>85</v>
      </c>
      <c r="I12" s="3" t="s">
        <v>96</v>
      </c>
      <c r="J12" s="6" t="s">
        <v>413</v>
      </c>
      <c r="K12" s="6" t="s">
        <v>262</v>
      </c>
      <c r="L12" s="6" t="s">
        <v>398</v>
      </c>
      <c r="M12" s="6" t="s">
        <v>399</v>
      </c>
      <c r="N12" s="6" t="s">
        <v>414</v>
      </c>
      <c r="O12" s="6" t="s">
        <v>399</v>
      </c>
    </row>
    <row r="13" spans="1:19" ht="27">
      <c r="A13" s="649">
        <v>124</v>
      </c>
      <c r="B13" s="3" t="s">
        <v>14</v>
      </c>
      <c r="C13" s="77" t="s">
        <v>415</v>
      </c>
      <c r="D13" s="6" t="s">
        <v>19</v>
      </c>
      <c r="E13" s="77" t="s">
        <v>15</v>
      </c>
      <c r="F13" s="428" t="s">
        <v>395</v>
      </c>
      <c r="G13" s="115" t="s">
        <v>16</v>
      </c>
      <c r="H13" s="79" t="s">
        <v>17</v>
      </c>
      <c r="I13" s="3" t="s">
        <v>18</v>
      </c>
      <c r="J13" s="3" t="s">
        <v>416</v>
      </c>
      <c r="K13" s="3" t="s">
        <v>416</v>
      </c>
      <c r="L13" s="6" t="s">
        <v>398</v>
      </c>
      <c r="M13" s="3" t="s">
        <v>399</v>
      </c>
      <c r="N13" s="3" t="s">
        <v>417</v>
      </c>
      <c r="O13" s="3" t="s">
        <v>399</v>
      </c>
    </row>
    <row r="14" spans="1:19" ht="26.1">
      <c r="A14" s="649">
        <v>142</v>
      </c>
      <c r="B14" s="3" t="s">
        <v>33</v>
      </c>
      <c r="C14" s="77" t="s">
        <v>418</v>
      </c>
      <c r="D14" s="6" t="s">
        <v>12</v>
      </c>
      <c r="E14" s="77" t="s">
        <v>15</v>
      </c>
      <c r="F14" s="428" t="s">
        <v>395</v>
      </c>
      <c r="G14" s="119" t="s">
        <v>34</v>
      </c>
      <c r="H14" s="79" t="s">
        <v>30</v>
      </c>
      <c r="I14" s="6" t="s">
        <v>35</v>
      </c>
      <c r="J14" s="6" t="s">
        <v>419</v>
      </c>
      <c r="K14" s="6" t="s">
        <v>419</v>
      </c>
      <c r="L14" s="6" t="s">
        <v>398</v>
      </c>
      <c r="M14" s="6" t="s">
        <v>399</v>
      </c>
      <c r="N14" s="6" t="s">
        <v>420</v>
      </c>
      <c r="O14" s="6" t="s">
        <v>399</v>
      </c>
    </row>
    <row r="15" spans="1:19" ht="51.95">
      <c r="A15" s="649">
        <v>119</v>
      </c>
      <c r="B15" s="3" t="s">
        <v>99</v>
      </c>
      <c r="C15" s="77" t="s">
        <v>421</v>
      </c>
      <c r="D15" s="6" t="s">
        <v>12</v>
      </c>
      <c r="E15" s="77" t="s">
        <v>15</v>
      </c>
      <c r="F15" s="428" t="s">
        <v>395</v>
      </c>
      <c r="G15" s="511" t="s">
        <v>100</v>
      </c>
      <c r="H15" s="79" t="s">
        <v>101</v>
      </c>
      <c r="I15" s="79" t="s">
        <v>101</v>
      </c>
      <c r="J15" s="3" t="s">
        <v>422</v>
      </c>
      <c r="K15" s="3" t="s">
        <v>241</v>
      </c>
      <c r="L15" s="6" t="s">
        <v>423</v>
      </c>
      <c r="M15" s="3" t="s">
        <v>399</v>
      </c>
      <c r="N15" s="3" t="s">
        <v>424</v>
      </c>
      <c r="O15" s="3" t="s">
        <v>399</v>
      </c>
      <c r="P15" s="244" t="s">
        <v>425</v>
      </c>
    </row>
    <row r="16" spans="1:19" ht="65.099999999999994">
      <c r="A16" s="649">
        <v>108</v>
      </c>
      <c r="B16" s="3" t="s">
        <v>58</v>
      </c>
      <c r="C16" s="77" t="s">
        <v>426</v>
      </c>
      <c r="D16" s="5" t="s">
        <v>19</v>
      </c>
      <c r="E16" s="78" t="s">
        <v>15</v>
      </c>
      <c r="F16" s="428" t="s">
        <v>427</v>
      </c>
      <c r="G16" s="512" t="s">
        <v>59</v>
      </c>
      <c r="H16" s="79" t="s">
        <v>60</v>
      </c>
      <c r="I16" s="3" t="s">
        <v>61</v>
      </c>
      <c r="J16" s="3" t="s">
        <v>428</v>
      </c>
      <c r="K16" s="3" t="s">
        <v>429</v>
      </c>
      <c r="L16" s="6" t="s">
        <v>398</v>
      </c>
      <c r="M16" s="3" t="s">
        <v>399</v>
      </c>
      <c r="N16" s="3" t="s">
        <v>430</v>
      </c>
      <c r="O16" s="3" t="s">
        <v>399</v>
      </c>
    </row>
    <row r="17" spans="1:16" ht="26.1">
      <c r="A17" s="649">
        <v>139</v>
      </c>
      <c r="B17" s="3" t="s">
        <v>97</v>
      </c>
      <c r="C17" s="77" t="s">
        <v>431</v>
      </c>
      <c r="D17" s="5" t="s">
        <v>27</v>
      </c>
      <c r="E17" s="77" t="s">
        <v>15</v>
      </c>
      <c r="F17" s="428" t="s">
        <v>395</v>
      </c>
      <c r="G17" s="283" t="s">
        <v>98</v>
      </c>
      <c r="H17" s="79" t="s">
        <v>85</v>
      </c>
      <c r="I17" s="3" t="s">
        <v>96</v>
      </c>
      <c r="J17" s="6" t="s">
        <v>413</v>
      </c>
      <c r="K17" s="6" t="s">
        <v>262</v>
      </c>
      <c r="L17" s="6" t="s">
        <v>398</v>
      </c>
      <c r="M17" s="6" t="s">
        <v>399</v>
      </c>
      <c r="N17" s="459" t="s">
        <v>432</v>
      </c>
      <c r="O17" s="6" t="s">
        <v>399</v>
      </c>
    </row>
    <row r="18" spans="1:16" ht="26.1">
      <c r="A18" s="135">
        <v>999</v>
      </c>
      <c r="B18" s="3" t="s">
        <v>82</v>
      </c>
      <c r="C18" s="3" t="s">
        <v>405</v>
      </c>
      <c r="D18" s="5" t="s">
        <v>27</v>
      </c>
      <c r="E18" s="78" t="s">
        <v>83</v>
      </c>
      <c r="F18" s="427" t="s">
        <v>395</v>
      </c>
      <c r="G18" s="283" t="s">
        <v>84</v>
      </c>
      <c r="H18" s="79" t="s">
        <v>85</v>
      </c>
      <c r="I18" s="6" t="s">
        <v>86</v>
      </c>
      <c r="J18" s="136" t="s">
        <v>406</v>
      </c>
      <c r="K18" s="136" t="s">
        <v>407</v>
      </c>
      <c r="L18" s="6" t="s">
        <v>398</v>
      </c>
      <c r="M18" s="136" t="s">
        <v>399</v>
      </c>
      <c r="N18" s="136" t="s">
        <v>408</v>
      </c>
      <c r="O18" s="136" t="s">
        <v>399</v>
      </c>
    </row>
    <row r="19" spans="1:16" ht="54.75" customHeight="1">
      <c r="A19" s="649">
        <v>117</v>
      </c>
      <c r="B19" s="3" t="s">
        <v>79</v>
      </c>
      <c r="C19" s="3" t="s">
        <v>433</v>
      </c>
      <c r="D19" s="6" t="s">
        <v>12</v>
      </c>
      <c r="E19" s="244" t="s">
        <v>15</v>
      </c>
      <c r="F19" s="427" t="s">
        <v>395</v>
      </c>
      <c r="G19" s="100" t="s">
        <v>80</v>
      </c>
      <c r="H19" s="79" t="s">
        <v>81</v>
      </c>
      <c r="I19" s="3" t="s">
        <v>81</v>
      </c>
      <c r="J19" s="3" t="s">
        <v>235</v>
      </c>
      <c r="K19" s="3" t="s">
        <v>434</v>
      </c>
      <c r="L19" s="6" t="s">
        <v>398</v>
      </c>
      <c r="M19" s="3" t="s">
        <v>399</v>
      </c>
      <c r="N19" s="3" t="s">
        <v>435</v>
      </c>
      <c r="O19" s="3" t="s">
        <v>399</v>
      </c>
    </row>
    <row r="20" spans="1:16" ht="120.75" customHeight="1">
      <c r="A20" s="649">
        <v>112</v>
      </c>
      <c r="B20" s="3" t="s">
        <v>67</v>
      </c>
      <c r="C20" s="77" t="s">
        <v>436</v>
      </c>
      <c r="D20" s="5" t="s">
        <v>19</v>
      </c>
      <c r="E20" s="646" t="s">
        <v>437</v>
      </c>
      <c r="F20" s="428" t="s">
        <v>427</v>
      </c>
      <c r="G20" s="104" t="s">
        <v>69</v>
      </c>
      <c r="H20" s="79" t="s">
        <v>60</v>
      </c>
      <c r="I20" s="122" t="s">
        <v>60</v>
      </c>
      <c r="J20" s="3" t="s">
        <v>438</v>
      </c>
      <c r="K20" s="3" t="s">
        <v>338</v>
      </c>
      <c r="L20" s="6" t="s">
        <v>398</v>
      </c>
      <c r="M20" s="3" t="s">
        <v>399</v>
      </c>
      <c r="N20" s="3" t="s">
        <v>439</v>
      </c>
      <c r="O20" s="3" t="s">
        <v>399</v>
      </c>
    </row>
    <row r="21" spans="1:16" ht="87" customHeight="1">
      <c r="A21" s="649">
        <v>913</v>
      </c>
      <c r="B21" s="4" t="s">
        <v>73</v>
      </c>
      <c r="C21" s="77" t="s">
        <v>436</v>
      </c>
      <c r="D21" s="5" t="s">
        <v>19</v>
      </c>
      <c r="E21" s="78" t="s">
        <v>437</v>
      </c>
      <c r="F21" s="428" t="s">
        <v>427</v>
      </c>
      <c r="G21" s="104" t="s">
        <v>69</v>
      </c>
      <c r="H21" s="79" t="s">
        <v>60</v>
      </c>
      <c r="I21" s="122" t="s">
        <v>440</v>
      </c>
      <c r="J21" s="3" t="s">
        <v>441</v>
      </c>
      <c r="K21" s="3" t="s">
        <v>186</v>
      </c>
      <c r="L21" s="6" t="s">
        <v>398</v>
      </c>
      <c r="M21" s="3" t="s">
        <v>399</v>
      </c>
      <c r="N21" s="3" t="s">
        <v>439</v>
      </c>
      <c r="O21" s="3" t="s">
        <v>399</v>
      </c>
    </row>
    <row r="22" spans="1:16" ht="39">
      <c r="A22" s="649">
        <v>106</v>
      </c>
      <c r="B22" s="3" t="s">
        <v>47</v>
      </c>
      <c r="C22" s="3" t="s">
        <v>442</v>
      </c>
      <c r="D22" s="5" t="s">
        <v>19</v>
      </c>
      <c r="E22" s="78" t="s">
        <v>48</v>
      </c>
      <c r="F22" s="428" t="s">
        <v>427</v>
      </c>
      <c r="G22" s="76" t="s">
        <v>49</v>
      </c>
      <c r="H22" s="79" t="s">
        <v>50</v>
      </c>
      <c r="I22" s="3" t="s">
        <v>51</v>
      </c>
      <c r="J22" s="3" t="s">
        <v>251</v>
      </c>
      <c r="K22" s="3" t="s">
        <v>251</v>
      </c>
      <c r="L22" s="6" t="s">
        <v>398</v>
      </c>
      <c r="M22" s="3" t="s">
        <v>399</v>
      </c>
      <c r="N22" s="3" t="s">
        <v>443</v>
      </c>
      <c r="O22" s="3" t="s">
        <v>444</v>
      </c>
      <c r="P22" s="244" t="s">
        <v>269</v>
      </c>
    </row>
    <row r="23" spans="1:16" ht="39">
      <c r="A23" s="135">
        <v>537</v>
      </c>
      <c r="B23" s="3" t="s">
        <v>105</v>
      </c>
      <c r="C23" s="77" t="s">
        <v>442</v>
      </c>
      <c r="D23" s="5" t="s">
        <v>19</v>
      </c>
      <c r="E23" s="77" t="s">
        <v>106</v>
      </c>
      <c r="F23" s="428" t="s">
        <v>427</v>
      </c>
      <c r="G23" s="165" t="s">
        <v>107</v>
      </c>
      <c r="H23" s="79" t="s">
        <v>108</v>
      </c>
      <c r="I23" s="3" t="s">
        <v>51</v>
      </c>
      <c r="J23" s="3" t="s">
        <v>251</v>
      </c>
      <c r="K23" s="3" t="s">
        <v>251</v>
      </c>
      <c r="L23" s="6" t="s">
        <v>398</v>
      </c>
      <c r="M23" s="3" t="s">
        <v>399</v>
      </c>
      <c r="N23" s="3" t="s">
        <v>443</v>
      </c>
      <c r="O23" s="3" t="s">
        <v>444</v>
      </c>
    </row>
    <row r="24" spans="1:16" ht="56.1" customHeight="1">
      <c r="A24" s="135">
        <v>538</v>
      </c>
      <c r="B24" s="3" t="s">
        <v>55</v>
      </c>
      <c r="C24" s="77" t="s">
        <v>442</v>
      </c>
      <c r="D24" s="5" t="s">
        <v>19</v>
      </c>
      <c r="E24" s="78" t="s">
        <v>56</v>
      </c>
      <c r="F24" s="428" t="s">
        <v>427</v>
      </c>
      <c r="G24" s="76" t="s">
        <v>57</v>
      </c>
      <c r="H24" s="79" t="s">
        <v>50</v>
      </c>
      <c r="I24" s="3" t="s">
        <v>51</v>
      </c>
      <c r="J24" s="3" t="s">
        <v>251</v>
      </c>
      <c r="K24" s="3" t="s">
        <v>251</v>
      </c>
      <c r="L24" s="6" t="s">
        <v>398</v>
      </c>
      <c r="M24" s="3" t="s">
        <v>399</v>
      </c>
      <c r="N24" s="3" t="s">
        <v>443</v>
      </c>
      <c r="O24" s="3" t="s">
        <v>444</v>
      </c>
      <c r="P24" s="244" t="s">
        <v>269</v>
      </c>
    </row>
    <row r="25" spans="1:16" ht="42" customHeight="1">
      <c r="A25" s="649">
        <v>152</v>
      </c>
      <c r="B25" s="3" t="s">
        <v>445</v>
      </c>
      <c r="C25" s="77" t="s">
        <v>446</v>
      </c>
      <c r="D25" s="6" t="s">
        <v>12</v>
      </c>
      <c r="E25" s="78" t="s">
        <v>53</v>
      </c>
      <c r="F25" s="428" t="s">
        <v>395</v>
      </c>
      <c r="G25" s="76" t="s">
        <v>103</v>
      </c>
      <c r="H25" s="79" t="s">
        <v>51</v>
      </c>
      <c r="I25" s="3" t="s">
        <v>51</v>
      </c>
      <c r="J25" s="3" t="s">
        <v>251</v>
      </c>
      <c r="K25" s="3" t="s">
        <v>251</v>
      </c>
      <c r="L25" s="6" t="s">
        <v>398</v>
      </c>
      <c r="M25" s="3" t="s">
        <v>447</v>
      </c>
      <c r="N25" s="3" t="s">
        <v>448</v>
      </c>
      <c r="O25" s="3" t="s">
        <v>399</v>
      </c>
    </row>
    <row r="26" spans="1:16" ht="115.5" customHeight="1">
      <c r="A26" s="649">
        <v>908</v>
      </c>
      <c r="B26" s="3" t="s">
        <v>296</v>
      </c>
      <c r="C26" s="77" t="s">
        <v>449</v>
      </c>
      <c r="D26" s="5" t="s">
        <v>19</v>
      </c>
      <c r="E26" s="77" t="s">
        <v>15</v>
      </c>
      <c r="F26" s="428" t="s">
        <v>427</v>
      </c>
      <c r="G26" s="115" t="s">
        <v>37</v>
      </c>
      <c r="H26" s="79" t="s">
        <v>38</v>
      </c>
      <c r="I26" s="6" t="s">
        <v>39</v>
      </c>
      <c r="J26" s="6" t="s">
        <v>450</v>
      </c>
      <c r="K26" s="6" t="s">
        <v>451</v>
      </c>
      <c r="L26" s="6" t="s">
        <v>398</v>
      </c>
      <c r="M26" s="6" t="s">
        <v>399</v>
      </c>
      <c r="N26" s="6" t="s">
        <v>452</v>
      </c>
      <c r="O26" s="6" t="s">
        <v>399</v>
      </c>
    </row>
    <row r="27" spans="1:16" ht="65.099999999999994">
      <c r="A27" s="649">
        <v>111</v>
      </c>
      <c r="B27" s="3" t="s">
        <v>36</v>
      </c>
      <c r="C27" s="77" t="s">
        <v>453</v>
      </c>
      <c r="D27" s="5" t="s">
        <v>19</v>
      </c>
      <c r="E27" s="77" t="s">
        <v>15</v>
      </c>
      <c r="F27" s="428" t="s">
        <v>427</v>
      </c>
      <c r="G27" s="511" t="s">
        <v>37</v>
      </c>
      <c r="H27" s="79" t="s">
        <v>38</v>
      </c>
      <c r="I27" s="6" t="s">
        <v>39</v>
      </c>
      <c r="J27" s="6" t="s">
        <v>450</v>
      </c>
      <c r="K27" s="6" t="s">
        <v>454</v>
      </c>
      <c r="L27" s="6" t="s">
        <v>398</v>
      </c>
      <c r="M27" s="6" t="s">
        <v>399</v>
      </c>
      <c r="N27" s="6" t="s">
        <v>452</v>
      </c>
      <c r="O27" s="6" t="s">
        <v>399</v>
      </c>
    </row>
    <row r="28" spans="1:16" ht="56.1" customHeight="1">
      <c r="A28" s="649">
        <v>150</v>
      </c>
      <c r="B28" s="3" t="s">
        <v>102</v>
      </c>
      <c r="C28" s="77" t="s">
        <v>455</v>
      </c>
      <c r="D28" s="6" t="s">
        <v>12</v>
      </c>
      <c r="E28" s="77" t="s">
        <v>437</v>
      </c>
      <c r="F28" s="428" t="s">
        <v>395</v>
      </c>
      <c r="G28" s="115" t="s">
        <v>103</v>
      </c>
      <c r="H28" s="3" t="s">
        <v>104</v>
      </c>
      <c r="I28" s="3" t="s">
        <v>104</v>
      </c>
      <c r="J28" s="3" t="s">
        <v>456</v>
      </c>
      <c r="K28" s="3" t="s">
        <v>457</v>
      </c>
      <c r="L28" s="6" t="s">
        <v>398</v>
      </c>
      <c r="M28" s="3" t="s">
        <v>399</v>
      </c>
      <c r="N28" s="3" t="s">
        <v>458</v>
      </c>
      <c r="O28" s="3" t="s">
        <v>399</v>
      </c>
      <c r="P28" s="244" t="s">
        <v>425</v>
      </c>
    </row>
    <row r="29" spans="1:16" ht="53.45" customHeight="1">
      <c r="A29" s="649">
        <v>140</v>
      </c>
      <c r="B29" s="3" t="s">
        <v>28</v>
      </c>
      <c r="C29" s="77" t="s">
        <v>459</v>
      </c>
      <c r="D29" s="5" t="s">
        <v>32</v>
      </c>
      <c r="E29" s="78" t="s">
        <v>15</v>
      </c>
      <c r="F29" s="428" t="s">
        <v>395</v>
      </c>
      <c r="G29" s="104" t="s">
        <v>460</v>
      </c>
      <c r="H29" s="79" t="s">
        <v>30</v>
      </c>
      <c r="I29" s="6" t="s">
        <v>31</v>
      </c>
      <c r="J29" s="6" t="s">
        <v>461</v>
      </c>
      <c r="K29" s="6" t="s">
        <v>462</v>
      </c>
      <c r="L29" s="6" t="s">
        <v>398</v>
      </c>
      <c r="M29" s="6" t="s">
        <v>399</v>
      </c>
      <c r="N29" s="6" t="s">
        <v>463</v>
      </c>
      <c r="O29" s="6" t="s">
        <v>399</v>
      </c>
    </row>
    <row r="30" spans="1:16" ht="56.1" customHeight="1">
      <c r="A30" s="649">
        <v>109</v>
      </c>
      <c r="B30" s="123" t="s">
        <v>464</v>
      </c>
      <c r="C30" s="77" t="s">
        <v>436</v>
      </c>
      <c r="D30" s="5" t="s">
        <v>19</v>
      </c>
      <c r="E30" s="78" t="s">
        <v>64</v>
      </c>
      <c r="F30" s="428" t="s">
        <v>427</v>
      </c>
      <c r="G30" s="100" t="s">
        <v>65</v>
      </c>
      <c r="H30" s="79" t="s">
        <v>60</v>
      </c>
      <c r="I30" s="3" t="s">
        <v>66</v>
      </c>
      <c r="J30" s="3" t="s">
        <v>465</v>
      </c>
      <c r="K30" s="3" t="s">
        <v>145</v>
      </c>
      <c r="L30" s="6" t="s">
        <v>398</v>
      </c>
      <c r="M30" s="3" t="s">
        <v>399</v>
      </c>
      <c r="N30" s="3" t="s">
        <v>466</v>
      </c>
      <c r="O30" s="6" t="s">
        <v>399</v>
      </c>
    </row>
    <row r="31" spans="1:16" ht="26.1">
      <c r="A31" s="649">
        <v>127</v>
      </c>
      <c r="B31" s="3" t="s">
        <v>20</v>
      </c>
      <c r="C31" s="77" t="s">
        <v>415</v>
      </c>
      <c r="D31" s="6" t="s">
        <v>12</v>
      </c>
      <c r="E31" s="77" t="s">
        <v>15</v>
      </c>
      <c r="F31" s="427" t="s">
        <v>395</v>
      </c>
      <c r="G31" s="104" t="s">
        <v>21</v>
      </c>
      <c r="H31" s="79" t="s">
        <v>17</v>
      </c>
      <c r="I31" s="122" t="s">
        <v>17</v>
      </c>
      <c r="J31" s="3" t="s">
        <v>225</v>
      </c>
      <c r="K31" s="3" t="s">
        <v>225</v>
      </c>
      <c r="L31" s="6" t="s">
        <v>398</v>
      </c>
      <c r="M31" s="3" t="s">
        <v>399</v>
      </c>
      <c r="N31" s="518" t="s">
        <v>467</v>
      </c>
      <c r="O31" s="519" t="s">
        <v>399</v>
      </c>
    </row>
    <row r="32" spans="1:16" ht="26.1">
      <c r="A32" s="650">
        <v>128</v>
      </c>
      <c r="B32" s="122" t="s">
        <v>22</v>
      </c>
      <c r="C32" s="122" t="s">
        <v>415</v>
      </c>
      <c r="D32" s="245" t="s">
        <v>12</v>
      </c>
      <c r="E32" s="244" t="s">
        <v>15</v>
      </c>
      <c r="F32" s="429" t="s">
        <v>395</v>
      </c>
      <c r="G32" s="457" t="s">
        <v>21</v>
      </c>
      <c r="H32" s="246" t="s">
        <v>17</v>
      </c>
      <c r="I32" s="122" t="s">
        <v>17</v>
      </c>
      <c r="J32" s="3" t="s">
        <v>225</v>
      </c>
      <c r="K32" s="3" t="s">
        <v>225</v>
      </c>
      <c r="L32" s="6" t="s">
        <v>398</v>
      </c>
      <c r="M32" s="3" t="s">
        <v>399</v>
      </c>
      <c r="N32" s="518" t="s">
        <v>467</v>
      </c>
      <c r="O32" s="519" t="s">
        <v>399</v>
      </c>
    </row>
    <row r="33" spans="1:15" ht="26.1">
      <c r="A33" s="649">
        <v>129</v>
      </c>
      <c r="B33" s="3" t="s">
        <v>24</v>
      </c>
      <c r="C33" s="3" t="s">
        <v>415</v>
      </c>
      <c r="D33" s="6" t="s">
        <v>12</v>
      </c>
      <c r="E33" s="3" t="s">
        <v>15</v>
      </c>
      <c r="F33" s="427" t="s">
        <v>395</v>
      </c>
      <c r="G33" s="513" t="s">
        <v>25</v>
      </c>
      <c r="H33" s="3" t="s">
        <v>17</v>
      </c>
      <c r="I33" s="3" t="s">
        <v>17</v>
      </c>
      <c r="J33" s="3" t="s">
        <v>225</v>
      </c>
      <c r="K33" s="3" t="s">
        <v>225</v>
      </c>
      <c r="L33" s="6" t="s">
        <v>398</v>
      </c>
      <c r="M33" s="3" t="s">
        <v>399</v>
      </c>
      <c r="N33" t="s">
        <v>468</v>
      </c>
      <c r="O33" s="519" t="s">
        <v>399</v>
      </c>
    </row>
    <row r="34" spans="1:15" ht="26.1">
      <c r="A34" s="135">
        <v>518</v>
      </c>
      <c r="B34" s="3" t="s">
        <v>26</v>
      </c>
      <c r="C34" s="3" t="s">
        <v>415</v>
      </c>
      <c r="D34" s="5" t="s">
        <v>27</v>
      </c>
      <c r="E34" s="3" t="s">
        <v>15</v>
      </c>
      <c r="F34" s="427" t="s">
        <v>395</v>
      </c>
      <c r="G34" s="514" t="s">
        <v>21</v>
      </c>
      <c r="H34" s="3" t="s">
        <v>17</v>
      </c>
      <c r="I34" s="3" t="s">
        <v>17</v>
      </c>
      <c r="J34" s="3" t="s">
        <v>225</v>
      </c>
      <c r="K34" s="3" t="s">
        <v>225</v>
      </c>
      <c r="L34" s="6" t="s">
        <v>398</v>
      </c>
      <c r="M34" s="3" t="s">
        <v>399</v>
      </c>
      <c r="N34" t="s">
        <v>468</v>
      </c>
      <c r="O34" s="519" t="s">
        <v>399</v>
      </c>
    </row>
    <row r="35" spans="1:15" ht="26.1">
      <c r="A35" s="651">
        <v>535</v>
      </c>
      <c r="B35" s="49" t="s">
        <v>8</v>
      </c>
      <c r="C35" s="3" t="s">
        <v>469</v>
      </c>
      <c r="D35" s="102" t="s">
        <v>12</v>
      </c>
      <c r="E35" s="647" t="s">
        <v>9</v>
      </c>
      <c r="F35" s="456" t="s">
        <v>427</v>
      </c>
      <c r="G35" s="515" t="s">
        <v>10</v>
      </c>
      <c r="H35" s="49" t="s">
        <v>11</v>
      </c>
      <c r="I35" s="49" t="s">
        <v>11</v>
      </c>
      <c r="J35" s="3" t="s">
        <v>470</v>
      </c>
      <c r="K35" s="3" t="s">
        <v>470</v>
      </c>
      <c r="L35" s="245" t="s">
        <v>398</v>
      </c>
      <c r="M35" s="122" t="s">
        <v>399</v>
      </c>
      <c r="N35" s="122" t="s">
        <v>471</v>
      </c>
      <c r="O35" s="122" t="s">
        <v>399</v>
      </c>
    </row>
    <row r="36" spans="1:15" ht="96" customHeight="1">
      <c r="A36" s="649">
        <v>113</v>
      </c>
      <c r="B36" s="3" t="s">
        <v>70</v>
      </c>
      <c r="C36" s="77" t="s">
        <v>472</v>
      </c>
      <c r="D36" s="5" t="s">
        <v>19</v>
      </c>
      <c r="E36" s="78" t="s">
        <v>71</v>
      </c>
      <c r="F36" s="428" t="s">
        <v>395</v>
      </c>
      <c r="G36" s="104" t="s">
        <v>69</v>
      </c>
      <c r="H36" s="79" t="s">
        <v>60</v>
      </c>
      <c r="I36" s="6" t="s">
        <v>72</v>
      </c>
      <c r="J36" s="6" t="s">
        <v>473</v>
      </c>
      <c r="K36" s="462" t="s">
        <v>474</v>
      </c>
      <c r="L36" s="463" t="s">
        <v>398</v>
      </c>
      <c r="M36" s="463" t="s">
        <v>399</v>
      </c>
      <c r="N36" s="3" t="s">
        <v>439</v>
      </c>
      <c r="O36" s="122" t="s">
        <v>399</v>
      </c>
    </row>
  </sheetData>
  <autoFilter ref="A1:P36" xr:uid="{ADC5D3C9-36EF-459D-897A-AEB63561FA38}"/>
  <dataValidations count="1">
    <dataValidation type="list" allowBlank="1" showInputMessage="1" showErrorMessage="1" sqref="L2:L36" xr:uid="{5785CF51-3304-4365-A8CA-62FC79F921D4}">
      <formula1>"Request Raised , In Progress, Access Acquired "</formula1>
    </dataValidation>
  </dataValidations>
  <hyperlinks>
    <hyperlink ref="G12" r:id="rId1" xr:uid="{EB3791A3-960B-4C83-BC77-2CCCAEA9E7C8}"/>
    <hyperlink ref="G17" r:id="rId2" xr:uid="{29858538-5FCC-4536-8A24-923F0945AE6D}"/>
    <hyperlink ref="G35" r:id="rId3" xr:uid="{59069CF8-FF13-473A-A08F-2FF37020C624}"/>
    <hyperlink ref="G30" r:id="rId4" xr:uid="{ABD29441-2F49-429B-A34D-DF343CBC5EF8}"/>
    <hyperlink ref="G16" r:id="rId5" display="renate.floeser@freseniusmedicalcare.com" xr:uid="{84A00DE4-D302-45C2-8B1A-BD9398775C33}"/>
    <hyperlink ref="G20" r:id="rId6" xr:uid="{89CE3D2E-E6B9-4898-BE79-7B949B149F7E}"/>
    <hyperlink ref="G36" r:id="rId7" xr:uid="{67FDA1AC-790F-4065-8D55-B740C2813E3B}"/>
    <hyperlink ref="G19" r:id="rId8" xr:uid="{A47CC258-7211-4472-A16F-0EE6DFC1200D}"/>
    <hyperlink ref="G21" r:id="rId9" xr:uid="{E2118721-1A46-40B3-99F4-2591774AC6F9}"/>
    <hyperlink ref="G3" r:id="rId10" xr:uid="{1301050C-83FB-4251-A9DB-893A488723D7}"/>
    <hyperlink ref="G14" r:id="rId11" xr:uid="{459E2F9E-1342-405A-AA8B-642DDBF816CB}"/>
    <hyperlink ref="G27" r:id="rId12" xr:uid="{88ED013B-2520-4A1B-B475-F5C9AB61A6D2}"/>
    <hyperlink ref="G13" r:id="rId13" xr:uid="{31EF96E9-28DE-4272-A6A6-62AB87B3862B}"/>
    <hyperlink ref="G31" r:id="rId14" xr:uid="{E8DE75E8-CFF8-42E9-A587-6913B142134B}"/>
    <hyperlink ref="G33" r:id="rId15" xr:uid="{22E83D28-AEA5-4A61-9302-FF1498B975A8}"/>
    <hyperlink ref="G34" r:id="rId16" xr:uid="{7F09375F-2D83-44F4-B2E3-91E2108ED809}"/>
    <hyperlink ref="G5" r:id="rId17" xr:uid="{23ECA4DA-C3E8-4D55-BB22-52F949A460EC}"/>
    <hyperlink ref="G6" r:id="rId18" xr:uid="{25D2FF9A-814D-4061-B446-274DD40BCC26}"/>
    <hyperlink ref="G29" r:id="rId19" xr:uid="{51B92248-DEBF-4077-A0BC-578C931D5540}"/>
    <hyperlink ref="G15" r:id="rId20" display="Helena.Schmitz@freseniusmedicalcare.com" xr:uid="{965DB770-7236-44D9-BF46-F0A33AE661F8}"/>
    <hyperlink ref="G26" r:id="rId21" xr:uid="{E7760395-AA80-4804-BDA4-CBAF1FE8DBB9}"/>
    <hyperlink ref="G8" r:id="rId22" xr:uid="{49522D74-CFC2-49FF-906A-86A2A4CB0615}"/>
    <hyperlink ref="G11" r:id="rId23" xr:uid="{82C4B9CB-CD1B-4CED-A060-69B667B6E631}"/>
    <hyperlink ref="G22" r:id="rId24" xr:uid="{51BE5274-44B7-4111-B749-2144CB0C8525}"/>
    <hyperlink ref="G24" r:id="rId25" xr:uid="{48747412-04CB-4DC5-9E24-ED50A9F6A6B3}"/>
    <hyperlink ref="G25" r:id="rId26" xr:uid="{C7228740-E0E1-47A1-A9B8-6645805EEB19}"/>
    <hyperlink ref="G2" r:id="rId27" xr:uid="{3AF7960C-E28D-4C1D-B87A-7B324A2688A9}"/>
    <hyperlink ref="G4" r:id="rId28" xr:uid="{0B28769F-4042-43EB-A5FB-D5A53B3F7DC7}"/>
    <hyperlink ref="G28" r:id="rId29" xr:uid="{2763C922-19E9-460F-9B47-76CE0C56539C}"/>
    <hyperlink ref="G9" r:id="rId30" xr:uid="{D5C54478-03C1-401B-87FF-0068FB0EFF77}"/>
    <hyperlink ref="G18" r:id="rId31" xr:uid="{CB48DDBB-25D4-47A3-A015-B39C3DA76926}"/>
    <hyperlink ref="G7" r:id="rId32" xr:uid="{4ABCDF4A-13E9-4EA2-AC08-04616D623014}"/>
    <hyperlink ref="G10" r:id="rId33" xr:uid="{0DF73E16-3015-4155-83BC-84BA3F4067D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C57C-D91E-4860-BB27-DAFF45B6A033}">
  <sheetPr>
    <tabColor rgb="FFFFC000"/>
  </sheetPr>
  <dimension ref="A1:N47"/>
  <sheetViews>
    <sheetView workbookViewId="0">
      <selection activeCell="I6" sqref="I6"/>
    </sheetView>
  </sheetViews>
  <sheetFormatPr defaultRowHeight="15"/>
  <cols>
    <col min="1" max="1" width="15.28515625" customWidth="1"/>
    <col min="2" max="2" width="17.85546875" customWidth="1"/>
    <col min="3" max="3" width="16.7109375" customWidth="1"/>
    <col min="4" max="4" width="13.28515625" customWidth="1"/>
    <col min="5" max="5" width="15.42578125" customWidth="1"/>
    <col min="6" max="6" width="21.7109375" customWidth="1"/>
    <col min="7" max="7" width="15.140625" customWidth="1"/>
    <col min="8" max="8" width="31.42578125" customWidth="1"/>
    <col min="9" max="9" width="38.7109375" bestFit="1" customWidth="1"/>
    <col min="10" max="10" width="16.42578125" bestFit="1" customWidth="1"/>
    <col min="11" max="11" width="18.85546875" bestFit="1" customWidth="1"/>
    <col min="12" max="12" width="20" bestFit="1" customWidth="1"/>
    <col min="13" max="13" width="17" bestFit="1" customWidth="1"/>
    <col min="14" max="14" width="20" bestFit="1" customWidth="1"/>
  </cols>
  <sheetData>
    <row r="1" spans="1:14" ht="31.5">
      <c r="A1" s="805" t="s">
        <v>475</v>
      </c>
      <c r="B1" s="805"/>
      <c r="C1" s="805"/>
      <c r="D1" s="805"/>
      <c r="E1" s="805"/>
      <c r="F1" s="805"/>
      <c r="G1" s="662" t="s">
        <v>206</v>
      </c>
      <c r="H1" s="663" t="s">
        <v>476</v>
      </c>
      <c r="I1" s="337" t="s">
        <v>477</v>
      </c>
      <c r="J1" s="664" t="s">
        <v>206</v>
      </c>
      <c r="K1" s="665" t="s">
        <v>478</v>
      </c>
      <c r="L1" s="665" t="s">
        <v>479</v>
      </c>
      <c r="M1" s="665" t="s">
        <v>480</v>
      </c>
      <c r="N1" s="665" t="s">
        <v>481</v>
      </c>
    </row>
    <row r="2" spans="1:14" ht="31.5">
      <c r="A2" s="805"/>
      <c r="B2" s="805"/>
      <c r="C2" s="805"/>
      <c r="D2" s="805"/>
      <c r="E2" s="805"/>
      <c r="F2" s="805"/>
      <c r="G2" s="662" t="s">
        <v>206</v>
      </c>
      <c r="H2" s="666" t="s">
        <v>482</v>
      </c>
      <c r="I2" s="337" t="s">
        <v>477</v>
      </c>
      <c r="J2" s="667" t="s">
        <v>483</v>
      </c>
      <c r="K2" s="669">
        <v>0.77083333333333337</v>
      </c>
      <c r="L2" s="668" t="s">
        <v>484</v>
      </c>
      <c r="M2" s="669">
        <v>0.91666666666666663</v>
      </c>
      <c r="N2" s="668" t="s">
        <v>485</v>
      </c>
    </row>
    <row r="3" spans="1:14" ht="31.5">
      <c r="A3" s="805"/>
      <c r="B3" s="805"/>
      <c r="C3" s="805"/>
      <c r="D3" s="805"/>
      <c r="E3" s="805"/>
      <c r="F3" s="805"/>
      <c r="G3" s="662" t="s">
        <v>206</v>
      </c>
      <c r="H3" s="670" t="s">
        <v>486</v>
      </c>
      <c r="I3" s="300"/>
      <c r="J3" s="667" t="s">
        <v>487</v>
      </c>
      <c r="K3" s="669">
        <v>0.27083333333333331</v>
      </c>
      <c r="L3" s="668" t="s">
        <v>485</v>
      </c>
      <c r="M3" s="669">
        <v>0.27083333333333331</v>
      </c>
      <c r="N3" s="668" t="s">
        <v>485</v>
      </c>
    </row>
    <row r="4" spans="1:14" ht="31.5">
      <c r="A4" s="805"/>
      <c r="B4" s="805"/>
      <c r="C4" s="805"/>
      <c r="D4" s="805"/>
      <c r="E4" s="805"/>
      <c r="F4" s="805"/>
      <c r="G4" s="662" t="s">
        <v>206</v>
      </c>
      <c r="H4" s="671" t="s">
        <v>488</v>
      </c>
      <c r="I4" s="300"/>
      <c r="J4" s="667" t="s">
        <v>489</v>
      </c>
      <c r="K4" s="669">
        <v>0.27083333333333331</v>
      </c>
      <c r="L4" s="668" t="s">
        <v>490</v>
      </c>
      <c r="M4" s="669">
        <v>0.27083333333333331</v>
      </c>
      <c r="N4" s="668" t="s">
        <v>485</v>
      </c>
    </row>
    <row r="5" spans="1:14" ht="31.5">
      <c r="A5" s="805"/>
      <c r="B5" s="805"/>
      <c r="C5" s="805"/>
      <c r="D5" s="805"/>
      <c r="E5" s="805"/>
      <c r="F5" s="805"/>
      <c r="G5" s="662" t="s">
        <v>206</v>
      </c>
      <c r="H5" s="672" t="s">
        <v>491</v>
      </c>
      <c r="I5" s="673" t="s">
        <v>206</v>
      </c>
      <c r="J5" s="303" t="s">
        <v>206</v>
      </c>
      <c r="K5" s="300"/>
      <c r="L5" s="673" t="s">
        <v>206</v>
      </c>
      <c r="M5" s="673" t="s">
        <v>206</v>
      </c>
      <c r="N5" s="673" t="s">
        <v>206</v>
      </c>
    </row>
    <row r="6" spans="1:14" ht="31.5">
      <c r="A6" s="805"/>
      <c r="B6" s="805"/>
      <c r="C6" s="805"/>
      <c r="D6" s="805"/>
      <c r="E6" s="805"/>
      <c r="F6" s="805"/>
      <c r="G6" s="662" t="s">
        <v>206</v>
      </c>
      <c r="H6" s="674" t="s">
        <v>492</v>
      </c>
      <c r="I6" s="300"/>
      <c r="J6" s="300"/>
      <c r="K6" s="300"/>
      <c r="L6" s="300"/>
      <c r="M6" s="300"/>
      <c r="N6" s="300"/>
    </row>
    <row r="7" spans="1:14" ht="31.5">
      <c r="A7" s="805"/>
      <c r="B7" s="805"/>
      <c r="C7" s="805"/>
      <c r="D7" s="805"/>
      <c r="E7" s="805"/>
      <c r="F7" s="805"/>
      <c r="G7" s="662" t="s">
        <v>206</v>
      </c>
      <c r="H7" s="675" t="s">
        <v>493</v>
      </c>
      <c r="I7" s="300"/>
      <c r="J7" s="300"/>
      <c r="K7" s="300"/>
      <c r="L7" s="300"/>
      <c r="M7" s="300"/>
      <c r="N7" s="300"/>
    </row>
    <row r="8" spans="1:14" ht="31.5">
      <c r="A8" s="805"/>
      <c r="B8" s="805"/>
      <c r="C8" s="805"/>
      <c r="D8" s="805"/>
      <c r="E8" s="805"/>
      <c r="F8" s="805"/>
      <c r="G8" s="662" t="s">
        <v>206</v>
      </c>
      <c r="H8" s="676" t="s">
        <v>494</v>
      </c>
      <c r="I8" s="677" t="s">
        <v>495</v>
      </c>
      <c r="J8" s="300"/>
      <c r="K8" s="300"/>
      <c r="L8" s="300"/>
      <c r="M8" s="300"/>
      <c r="N8" s="300"/>
    </row>
    <row r="9" spans="1:14" ht="31.5">
      <c r="A9" s="805"/>
      <c r="B9" s="805"/>
      <c r="C9" s="805"/>
      <c r="D9" s="805"/>
      <c r="E9" s="805"/>
      <c r="F9" s="805"/>
      <c r="G9" s="662" t="s">
        <v>206</v>
      </c>
      <c r="H9" s="678" t="s">
        <v>496</v>
      </c>
      <c r="I9" s="679" t="s">
        <v>497</v>
      </c>
      <c r="J9" s="300"/>
      <c r="K9" s="300"/>
      <c r="L9" s="300"/>
      <c r="M9" s="300"/>
      <c r="N9" s="300"/>
    </row>
    <row r="10" spans="1:14" ht="31.5">
      <c r="A10" s="805"/>
      <c r="B10" s="805"/>
      <c r="C10" s="805"/>
      <c r="D10" s="805"/>
      <c r="E10" s="805"/>
      <c r="F10" s="805"/>
      <c r="G10" s="662" t="s">
        <v>206</v>
      </c>
      <c r="H10" s="680" t="s">
        <v>498</v>
      </c>
      <c r="I10" s="679" t="s">
        <v>499</v>
      </c>
      <c r="J10" s="300"/>
      <c r="K10" s="300"/>
      <c r="L10" s="300"/>
      <c r="M10" s="300"/>
      <c r="N10" s="300"/>
    </row>
    <row r="11" spans="1:14" ht="31.5">
      <c r="A11" s="805"/>
      <c r="B11" s="805"/>
      <c r="C11" s="805"/>
      <c r="D11" s="805"/>
      <c r="E11" s="805"/>
      <c r="F11" s="805"/>
      <c r="G11" s="662" t="s">
        <v>206</v>
      </c>
      <c r="H11" s="681" t="s">
        <v>500</v>
      </c>
      <c r="I11" s="300"/>
      <c r="J11" s="300"/>
      <c r="K11" s="300"/>
      <c r="L11" s="300"/>
      <c r="M11" s="300"/>
      <c r="N11" s="300"/>
    </row>
    <row r="12" spans="1:14">
      <c r="A12" s="300"/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0"/>
      <c r="N12" s="300"/>
    </row>
    <row r="13" spans="1:14">
      <c r="A13" s="300"/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0"/>
      <c r="N13" s="300"/>
    </row>
    <row r="14" spans="1:14">
      <c r="A14" s="860" t="s">
        <v>501</v>
      </c>
      <c r="B14" s="861"/>
      <c r="C14" s="682" t="s">
        <v>502</v>
      </c>
      <c r="D14" s="682" t="s">
        <v>503</v>
      </c>
      <c r="E14" s="682" t="s">
        <v>504</v>
      </c>
      <c r="F14" s="682" t="s">
        <v>505</v>
      </c>
      <c r="G14" s="682" t="s">
        <v>506</v>
      </c>
      <c r="H14" s="683" t="s">
        <v>507</v>
      </c>
      <c r="I14" s="683" t="s">
        <v>508</v>
      </c>
      <c r="J14" s="300"/>
      <c r="K14" s="300"/>
      <c r="L14" s="300"/>
      <c r="M14" s="300"/>
      <c r="N14" s="300"/>
    </row>
    <row r="15" spans="1:14">
      <c r="A15" s="684" t="s">
        <v>509</v>
      </c>
      <c r="B15" s="685" t="s">
        <v>206</v>
      </c>
      <c r="C15" s="685" t="s">
        <v>510</v>
      </c>
      <c r="D15" s="685" t="s">
        <v>510</v>
      </c>
      <c r="E15" s="685" t="s">
        <v>511</v>
      </c>
      <c r="F15" s="685" t="s">
        <v>512</v>
      </c>
      <c r="G15" s="685" t="s">
        <v>513</v>
      </c>
      <c r="H15" s="683" t="s">
        <v>511</v>
      </c>
      <c r="I15" s="683" t="s">
        <v>514</v>
      </c>
      <c r="J15" s="300"/>
      <c r="K15" s="300"/>
      <c r="L15" s="300"/>
      <c r="M15" s="300"/>
      <c r="N15" s="300"/>
    </row>
    <row r="16" spans="1:14">
      <c r="A16" s="862" t="s">
        <v>515</v>
      </c>
      <c r="B16" s="863"/>
      <c r="C16" s="686" t="s">
        <v>516</v>
      </c>
      <c r="D16" s="686" t="s">
        <v>517</v>
      </c>
      <c r="E16" s="687" t="s">
        <v>518</v>
      </c>
      <c r="F16" s="687" t="s">
        <v>519</v>
      </c>
      <c r="G16" s="687" t="s">
        <v>520</v>
      </c>
      <c r="H16" s="688" t="s">
        <v>521</v>
      </c>
      <c r="I16" s="688" t="s">
        <v>522</v>
      </c>
      <c r="J16" s="300"/>
      <c r="K16" s="300"/>
      <c r="L16" s="300"/>
      <c r="M16" s="300"/>
      <c r="N16" s="300"/>
    </row>
    <row r="17" spans="1:14">
      <c r="A17" s="689" t="s">
        <v>523</v>
      </c>
      <c r="B17" s="690" t="s">
        <v>524</v>
      </c>
      <c r="C17" s="691" t="s">
        <v>206</v>
      </c>
      <c r="D17" s="692" t="s">
        <v>206</v>
      </c>
      <c r="E17" s="693" t="s">
        <v>206</v>
      </c>
      <c r="F17" s="693" t="s">
        <v>206</v>
      </c>
      <c r="G17" s="693" t="s">
        <v>206</v>
      </c>
      <c r="H17" s="693" t="s">
        <v>206</v>
      </c>
      <c r="I17" s="693" t="s">
        <v>206</v>
      </c>
      <c r="J17" s="300"/>
      <c r="K17" s="300"/>
      <c r="L17" s="300"/>
      <c r="M17" s="300"/>
      <c r="N17" s="300"/>
    </row>
    <row r="18" spans="1:14">
      <c r="A18" s="694">
        <v>46174</v>
      </c>
      <c r="B18" s="695" t="s">
        <v>525</v>
      </c>
      <c r="C18" s="696" t="s">
        <v>526</v>
      </c>
      <c r="D18" s="697" t="s">
        <v>527</v>
      </c>
      <c r="E18" s="698" t="s">
        <v>528</v>
      </c>
      <c r="F18" s="697" t="s">
        <v>527</v>
      </c>
      <c r="G18" s="696" t="s">
        <v>526</v>
      </c>
      <c r="H18" s="699" t="s">
        <v>529</v>
      </c>
      <c r="I18" s="700" t="s">
        <v>530</v>
      </c>
      <c r="J18" s="300"/>
      <c r="K18" s="300"/>
      <c r="L18" s="300"/>
      <c r="M18" s="300"/>
      <c r="N18" s="300"/>
    </row>
    <row r="19" spans="1:14">
      <c r="A19" s="694">
        <v>46175</v>
      </c>
      <c r="B19" s="695" t="s">
        <v>531</v>
      </c>
      <c r="C19" s="696" t="s">
        <v>526</v>
      </c>
      <c r="D19" s="697" t="s">
        <v>527</v>
      </c>
      <c r="E19" s="698" t="s">
        <v>528</v>
      </c>
      <c r="F19" s="697" t="s">
        <v>527</v>
      </c>
      <c r="G19" s="701" t="s">
        <v>532</v>
      </c>
      <c r="H19" s="699" t="s">
        <v>529</v>
      </c>
      <c r="I19" s="700" t="s">
        <v>530</v>
      </c>
      <c r="J19" s="300"/>
      <c r="K19" s="300"/>
      <c r="L19" s="300"/>
      <c r="M19" s="300"/>
      <c r="N19" s="300"/>
    </row>
    <row r="20" spans="1:14">
      <c r="A20" s="694">
        <v>46176</v>
      </c>
      <c r="B20" s="695" t="s">
        <v>533</v>
      </c>
      <c r="C20" s="696" t="s">
        <v>526</v>
      </c>
      <c r="D20" s="697" t="s">
        <v>527</v>
      </c>
      <c r="E20" s="698" t="s">
        <v>528</v>
      </c>
      <c r="F20" s="697" t="s">
        <v>527</v>
      </c>
      <c r="G20" s="696" t="s">
        <v>526</v>
      </c>
      <c r="H20" s="699" t="s">
        <v>529</v>
      </c>
      <c r="I20" s="696" t="s">
        <v>526</v>
      </c>
      <c r="J20" s="300"/>
      <c r="K20" s="300"/>
      <c r="L20" s="300"/>
      <c r="M20" s="300"/>
      <c r="N20" s="300"/>
    </row>
    <row r="21" spans="1:14">
      <c r="A21" s="694">
        <v>46177</v>
      </c>
      <c r="B21" s="695" t="s">
        <v>534</v>
      </c>
      <c r="C21" s="696" t="s">
        <v>526</v>
      </c>
      <c r="D21" s="696" t="s">
        <v>526</v>
      </c>
      <c r="E21" s="698" t="s">
        <v>528</v>
      </c>
      <c r="F21" s="697" t="s">
        <v>527</v>
      </c>
      <c r="G21" s="696" t="s">
        <v>526</v>
      </c>
      <c r="H21" s="699" t="s">
        <v>529</v>
      </c>
      <c r="I21" s="700" t="s">
        <v>530</v>
      </c>
      <c r="J21" s="300"/>
      <c r="K21" s="300"/>
      <c r="L21" s="300"/>
      <c r="M21" s="300"/>
      <c r="N21" s="300"/>
    </row>
    <row r="22" spans="1:14">
      <c r="A22" s="694">
        <v>46178</v>
      </c>
      <c r="B22" s="695" t="s">
        <v>535</v>
      </c>
      <c r="C22" s="696" t="s">
        <v>526</v>
      </c>
      <c r="D22" s="697" t="s">
        <v>527</v>
      </c>
      <c r="E22" s="698" t="s">
        <v>528</v>
      </c>
      <c r="F22" s="697" t="s">
        <v>527</v>
      </c>
      <c r="G22" s="696" t="s">
        <v>526</v>
      </c>
      <c r="H22" s="699" t="s">
        <v>529</v>
      </c>
      <c r="I22" s="700" t="s">
        <v>530</v>
      </c>
      <c r="J22" s="300"/>
      <c r="K22" s="300"/>
      <c r="L22" s="300"/>
      <c r="M22" s="300"/>
      <c r="N22" s="300"/>
    </row>
    <row r="23" spans="1:14">
      <c r="A23" s="694">
        <v>46179</v>
      </c>
      <c r="B23" s="695" t="s">
        <v>536</v>
      </c>
      <c r="C23" s="702" t="s">
        <v>359</v>
      </c>
      <c r="D23" s="702" t="s">
        <v>359</v>
      </c>
      <c r="E23" s="703" t="s">
        <v>537</v>
      </c>
      <c r="F23" s="702" t="s">
        <v>359</v>
      </c>
      <c r="G23" s="702" t="s">
        <v>359</v>
      </c>
      <c r="H23" s="704" t="s">
        <v>538</v>
      </c>
      <c r="I23" s="702" t="s">
        <v>359</v>
      </c>
      <c r="J23" s="300"/>
      <c r="K23" s="300"/>
      <c r="L23" s="300"/>
      <c r="M23" s="300"/>
      <c r="N23" s="300"/>
    </row>
    <row r="24" spans="1:14">
      <c r="A24" s="694">
        <v>46180</v>
      </c>
      <c r="B24" s="695" t="s">
        <v>539</v>
      </c>
      <c r="C24" s="702" t="s">
        <v>359</v>
      </c>
      <c r="D24" s="702" t="s">
        <v>359</v>
      </c>
      <c r="E24" s="703" t="s">
        <v>537</v>
      </c>
      <c r="F24" s="702" t="s">
        <v>359</v>
      </c>
      <c r="G24" s="702" t="s">
        <v>359</v>
      </c>
      <c r="H24" s="704" t="s">
        <v>538</v>
      </c>
      <c r="I24" s="702" t="s">
        <v>359</v>
      </c>
      <c r="J24" s="300"/>
      <c r="K24" s="300"/>
      <c r="L24" s="300"/>
      <c r="M24" s="300"/>
      <c r="N24" s="300"/>
    </row>
    <row r="25" spans="1:14">
      <c r="A25" s="694">
        <v>46181</v>
      </c>
      <c r="B25" s="695" t="s">
        <v>525</v>
      </c>
      <c r="C25" s="697" t="s">
        <v>527</v>
      </c>
      <c r="D25" s="699" t="s">
        <v>529</v>
      </c>
      <c r="E25" s="700" t="s">
        <v>530</v>
      </c>
      <c r="F25" s="698" t="s">
        <v>528</v>
      </c>
      <c r="G25" s="696" t="s">
        <v>526</v>
      </c>
      <c r="H25" s="697" t="s">
        <v>527</v>
      </c>
      <c r="I25" s="697" t="s">
        <v>527</v>
      </c>
      <c r="J25" s="300"/>
      <c r="K25" s="300"/>
      <c r="L25" s="300"/>
      <c r="M25" s="300"/>
      <c r="N25" s="300"/>
    </row>
    <row r="26" spans="1:14">
      <c r="A26" s="694">
        <v>46182</v>
      </c>
      <c r="B26" s="695" t="s">
        <v>531</v>
      </c>
      <c r="C26" s="697" t="s">
        <v>527</v>
      </c>
      <c r="D26" s="699" t="s">
        <v>529</v>
      </c>
      <c r="E26" s="700" t="s">
        <v>530</v>
      </c>
      <c r="F26" s="700" t="s">
        <v>530</v>
      </c>
      <c r="G26" s="698" t="s">
        <v>528</v>
      </c>
      <c r="H26" s="697" t="s">
        <v>527</v>
      </c>
      <c r="I26" s="697" t="s">
        <v>527</v>
      </c>
      <c r="J26" s="300"/>
      <c r="K26" s="300"/>
      <c r="L26" s="300"/>
      <c r="M26" s="300"/>
      <c r="N26" s="300"/>
    </row>
    <row r="27" spans="1:14">
      <c r="A27" s="694">
        <v>46183</v>
      </c>
      <c r="B27" s="695" t="s">
        <v>533</v>
      </c>
      <c r="C27" s="697" t="s">
        <v>527</v>
      </c>
      <c r="D27" s="699" t="s">
        <v>529</v>
      </c>
      <c r="E27" s="700" t="s">
        <v>530</v>
      </c>
      <c r="F27" s="700" t="s">
        <v>530</v>
      </c>
      <c r="G27" s="698" t="s">
        <v>528</v>
      </c>
      <c r="H27" s="697" t="s">
        <v>527</v>
      </c>
      <c r="I27" s="697" t="s">
        <v>527</v>
      </c>
      <c r="J27" s="300"/>
      <c r="K27" s="300"/>
      <c r="L27" s="300"/>
      <c r="M27" s="300"/>
      <c r="N27" s="300"/>
    </row>
    <row r="28" spans="1:14">
      <c r="A28" s="694">
        <v>46184</v>
      </c>
      <c r="B28" s="695" t="s">
        <v>534</v>
      </c>
      <c r="C28" s="697" t="s">
        <v>527</v>
      </c>
      <c r="D28" s="699" t="s">
        <v>529</v>
      </c>
      <c r="E28" s="700" t="s">
        <v>530</v>
      </c>
      <c r="F28" s="700" t="s">
        <v>530</v>
      </c>
      <c r="G28" s="698" t="s">
        <v>528</v>
      </c>
      <c r="H28" s="697" t="s">
        <v>527</v>
      </c>
      <c r="I28" s="697" t="s">
        <v>527</v>
      </c>
      <c r="J28" s="300"/>
      <c r="K28" s="300"/>
      <c r="L28" s="300"/>
      <c r="M28" s="300"/>
      <c r="N28" s="300"/>
    </row>
    <row r="29" spans="1:14">
      <c r="A29" s="694">
        <v>46185</v>
      </c>
      <c r="B29" s="695" t="s">
        <v>535</v>
      </c>
      <c r="C29" s="697" t="s">
        <v>527</v>
      </c>
      <c r="D29" s="699" t="s">
        <v>529</v>
      </c>
      <c r="E29" s="700" t="s">
        <v>530</v>
      </c>
      <c r="F29" s="700" t="s">
        <v>530</v>
      </c>
      <c r="G29" s="698" t="s">
        <v>528</v>
      </c>
      <c r="H29" s="697" t="s">
        <v>527</v>
      </c>
      <c r="I29" s="697" t="s">
        <v>527</v>
      </c>
      <c r="J29" s="300"/>
      <c r="K29" s="300"/>
      <c r="L29" s="300"/>
      <c r="M29" s="300"/>
      <c r="N29" s="300"/>
    </row>
    <row r="30" spans="1:14">
      <c r="A30" s="694">
        <v>46186</v>
      </c>
      <c r="B30" s="695" t="s">
        <v>536</v>
      </c>
      <c r="C30" s="702" t="s">
        <v>359</v>
      </c>
      <c r="D30" s="704" t="s">
        <v>538</v>
      </c>
      <c r="E30" s="702" t="s">
        <v>359</v>
      </c>
      <c r="F30" s="702" t="s">
        <v>359</v>
      </c>
      <c r="G30" s="703" t="s">
        <v>537</v>
      </c>
      <c r="H30" s="702" t="s">
        <v>359</v>
      </c>
      <c r="I30" s="702" t="s">
        <v>359</v>
      </c>
      <c r="J30" s="300"/>
      <c r="K30" s="300"/>
      <c r="L30" s="300"/>
      <c r="M30" s="300"/>
      <c r="N30" s="300"/>
    </row>
    <row r="31" spans="1:14">
      <c r="A31" s="694">
        <v>46187</v>
      </c>
      <c r="B31" s="695" t="s">
        <v>539</v>
      </c>
      <c r="C31" s="702" t="s">
        <v>359</v>
      </c>
      <c r="D31" s="704" t="s">
        <v>538</v>
      </c>
      <c r="E31" s="702" t="s">
        <v>359</v>
      </c>
      <c r="F31" s="702" t="s">
        <v>359</v>
      </c>
      <c r="G31" s="703" t="s">
        <v>537</v>
      </c>
      <c r="H31" s="702" t="s">
        <v>359</v>
      </c>
      <c r="I31" s="702" t="s">
        <v>359</v>
      </c>
      <c r="J31" s="300"/>
      <c r="K31" s="300"/>
      <c r="L31" s="300"/>
      <c r="M31" s="300"/>
      <c r="N31" s="300"/>
    </row>
    <row r="32" spans="1:14">
      <c r="A32" s="694">
        <v>46188</v>
      </c>
      <c r="B32" s="695" t="s">
        <v>525</v>
      </c>
      <c r="C32" s="697" t="s">
        <v>527</v>
      </c>
      <c r="D32" s="700" t="s">
        <v>530</v>
      </c>
      <c r="E32" s="699" t="s">
        <v>529</v>
      </c>
      <c r="F32" s="697" t="s">
        <v>527</v>
      </c>
      <c r="G32" s="697" t="s">
        <v>527</v>
      </c>
      <c r="H32" s="700" t="s">
        <v>530</v>
      </c>
      <c r="I32" s="698" t="s">
        <v>528</v>
      </c>
      <c r="J32" s="300"/>
      <c r="K32" s="300"/>
      <c r="L32" s="300"/>
      <c r="M32" s="300"/>
      <c r="N32" s="300"/>
    </row>
    <row r="33" spans="1:14">
      <c r="A33" s="694">
        <v>46189</v>
      </c>
      <c r="B33" s="695" t="s">
        <v>531</v>
      </c>
      <c r="C33" s="697" t="s">
        <v>527</v>
      </c>
      <c r="D33" s="700" t="s">
        <v>530</v>
      </c>
      <c r="E33" s="699" t="s">
        <v>529</v>
      </c>
      <c r="F33" s="697" t="s">
        <v>527</v>
      </c>
      <c r="G33" s="697" t="s">
        <v>527</v>
      </c>
      <c r="H33" s="700" t="s">
        <v>530</v>
      </c>
      <c r="I33" s="698" t="s">
        <v>528</v>
      </c>
      <c r="J33" s="300"/>
      <c r="K33" s="300"/>
      <c r="L33" s="300"/>
      <c r="M33" s="300"/>
      <c r="N33" s="300"/>
    </row>
    <row r="34" spans="1:14">
      <c r="A34" s="694">
        <v>46190</v>
      </c>
      <c r="B34" s="695" t="s">
        <v>533</v>
      </c>
      <c r="C34" s="697" t="s">
        <v>527</v>
      </c>
      <c r="D34" s="700" t="s">
        <v>530</v>
      </c>
      <c r="E34" s="699" t="s">
        <v>529</v>
      </c>
      <c r="F34" s="697" t="s">
        <v>527</v>
      </c>
      <c r="G34" s="697" t="s">
        <v>527</v>
      </c>
      <c r="H34" s="700" t="s">
        <v>530</v>
      </c>
      <c r="I34" s="698" t="s">
        <v>528</v>
      </c>
      <c r="J34" s="300"/>
      <c r="K34" s="300"/>
      <c r="L34" s="300"/>
      <c r="M34" s="300"/>
      <c r="N34" s="300"/>
    </row>
    <row r="35" spans="1:14">
      <c r="A35" s="694">
        <v>46191</v>
      </c>
      <c r="B35" s="695" t="s">
        <v>534</v>
      </c>
      <c r="C35" s="697" t="s">
        <v>527</v>
      </c>
      <c r="D35" s="700" t="s">
        <v>530</v>
      </c>
      <c r="E35" s="699" t="s">
        <v>529</v>
      </c>
      <c r="F35" s="697" t="s">
        <v>527</v>
      </c>
      <c r="G35" s="697" t="s">
        <v>527</v>
      </c>
      <c r="H35" s="700" t="s">
        <v>530</v>
      </c>
      <c r="I35" s="698" t="s">
        <v>528</v>
      </c>
      <c r="J35" s="300"/>
      <c r="K35" s="300"/>
      <c r="L35" s="300"/>
      <c r="M35" s="300"/>
      <c r="N35" s="300"/>
    </row>
    <row r="36" spans="1:14">
      <c r="A36" s="694">
        <v>46192</v>
      </c>
      <c r="B36" s="695" t="s">
        <v>535</v>
      </c>
      <c r="C36" s="697" t="s">
        <v>527</v>
      </c>
      <c r="D36" s="700" t="s">
        <v>530</v>
      </c>
      <c r="E36" s="699" t="s">
        <v>529</v>
      </c>
      <c r="F36" s="697" t="s">
        <v>527</v>
      </c>
      <c r="G36" s="697" t="s">
        <v>527</v>
      </c>
      <c r="H36" s="700" t="s">
        <v>530</v>
      </c>
      <c r="I36" s="698" t="s">
        <v>528</v>
      </c>
      <c r="J36" s="300"/>
      <c r="K36" s="300"/>
      <c r="L36" s="300"/>
      <c r="M36" s="300"/>
      <c r="N36" s="300"/>
    </row>
    <row r="37" spans="1:14">
      <c r="A37" s="694">
        <v>46193</v>
      </c>
      <c r="B37" s="695" t="s">
        <v>536</v>
      </c>
      <c r="C37" s="702" t="s">
        <v>359</v>
      </c>
      <c r="D37" s="702" t="s">
        <v>359</v>
      </c>
      <c r="E37" s="702" t="s">
        <v>359</v>
      </c>
      <c r="F37" s="702" t="s">
        <v>359</v>
      </c>
      <c r="G37" s="702" t="s">
        <v>359</v>
      </c>
      <c r="H37" s="704" t="s">
        <v>538</v>
      </c>
      <c r="I37" s="703" t="s">
        <v>537</v>
      </c>
      <c r="J37" s="300"/>
      <c r="K37" s="300"/>
      <c r="L37" s="300"/>
      <c r="M37" s="300"/>
      <c r="N37" s="300"/>
    </row>
    <row r="38" spans="1:14">
      <c r="A38" s="705">
        <v>46194</v>
      </c>
      <c r="B38" s="695" t="s">
        <v>539</v>
      </c>
      <c r="C38" s="702" t="s">
        <v>359</v>
      </c>
      <c r="D38" s="702" t="s">
        <v>359</v>
      </c>
      <c r="E38" s="702" t="s">
        <v>359</v>
      </c>
      <c r="F38" s="702" t="s">
        <v>359</v>
      </c>
      <c r="G38" s="702" t="s">
        <v>359</v>
      </c>
      <c r="H38" s="704" t="s">
        <v>538</v>
      </c>
      <c r="I38" s="703" t="s">
        <v>537</v>
      </c>
      <c r="J38" s="300"/>
      <c r="K38" s="300"/>
      <c r="L38" s="300"/>
      <c r="M38" s="300"/>
      <c r="N38" s="300"/>
    </row>
    <row r="39" spans="1:14">
      <c r="A39" s="705">
        <v>46195</v>
      </c>
      <c r="B39" s="695" t="s">
        <v>525</v>
      </c>
      <c r="C39" s="697" t="s">
        <v>527</v>
      </c>
      <c r="D39" s="698" t="s">
        <v>528</v>
      </c>
      <c r="E39" s="697" t="s">
        <v>527</v>
      </c>
      <c r="F39" s="700" t="s">
        <v>530</v>
      </c>
      <c r="G39" s="699" t="s">
        <v>529</v>
      </c>
      <c r="H39" s="697" t="s">
        <v>527</v>
      </c>
      <c r="I39" s="700" t="s">
        <v>530</v>
      </c>
      <c r="J39" s="300"/>
      <c r="K39" s="300"/>
      <c r="L39" s="300"/>
      <c r="M39" s="300"/>
      <c r="N39" s="300"/>
    </row>
    <row r="40" spans="1:14">
      <c r="A40" s="705">
        <v>46196</v>
      </c>
      <c r="B40" s="695" t="s">
        <v>531</v>
      </c>
      <c r="C40" s="697" t="s">
        <v>527</v>
      </c>
      <c r="D40" s="698" t="s">
        <v>528</v>
      </c>
      <c r="E40" s="697" t="s">
        <v>527</v>
      </c>
      <c r="F40" s="700" t="s">
        <v>530</v>
      </c>
      <c r="G40" s="699" t="s">
        <v>529</v>
      </c>
      <c r="H40" s="697" t="s">
        <v>527</v>
      </c>
      <c r="I40" s="700" t="s">
        <v>530</v>
      </c>
      <c r="J40" s="300"/>
      <c r="K40" s="300"/>
      <c r="L40" s="300"/>
      <c r="M40" s="300"/>
      <c r="N40" s="300"/>
    </row>
    <row r="41" spans="1:14">
      <c r="A41" s="705">
        <v>46197</v>
      </c>
      <c r="B41" s="695" t="s">
        <v>533</v>
      </c>
      <c r="C41" s="697" t="s">
        <v>527</v>
      </c>
      <c r="D41" s="698" t="s">
        <v>528</v>
      </c>
      <c r="E41" s="697" t="s">
        <v>527</v>
      </c>
      <c r="F41" s="700" t="s">
        <v>530</v>
      </c>
      <c r="G41" s="699" t="s">
        <v>529</v>
      </c>
      <c r="H41" s="697" t="s">
        <v>527</v>
      </c>
      <c r="I41" s="700" t="s">
        <v>530</v>
      </c>
      <c r="J41" s="300"/>
      <c r="K41" s="300"/>
      <c r="L41" s="300"/>
      <c r="M41" s="300"/>
      <c r="N41" s="300"/>
    </row>
    <row r="42" spans="1:14">
      <c r="A42" s="705">
        <v>46198</v>
      </c>
      <c r="B42" s="695" t="s">
        <v>534</v>
      </c>
      <c r="C42" s="697" t="s">
        <v>527</v>
      </c>
      <c r="D42" s="698" t="s">
        <v>528</v>
      </c>
      <c r="E42" s="697" t="s">
        <v>527</v>
      </c>
      <c r="F42" s="700" t="s">
        <v>530</v>
      </c>
      <c r="G42" s="699" t="s">
        <v>529</v>
      </c>
      <c r="H42" s="697" t="s">
        <v>527</v>
      </c>
      <c r="I42" s="700" t="s">
        <v>530</v>
      </c>
      <c r="J42" s="300"/>
      <c r="K42" s="300"/>
      <c r="L42" s="300"/>
      <c r="M42" s="300"/>
      <c r="N42" s="300"/>
    </row>
    <row r="43" spans="1:14">
      <c r="A43" s="705">
        <v>46199</v>
      </c>
      <c r="B43" s="695" t="s">
        <v>535</v>
      </c>
      <c r="C43" s="697" t="s">
        <v>527</v>
      </c>
      <c r="D43" s="698" t="s">
        <v>528</v>
      </c>
      <c r="E43" s="697" t="s">
        <v>527</v>
      </c>
      <c r="F43" s="700" t="s">
        <v>530</v>
      </c>
      <c r="G43" s="699" t="s">
        <v>529</v>
      </c>
      <c r="H43" s="697" t="s">
        <v>527</v>
      </c>
      <c r="I43" s="700" t="s">
        <v>530</v>
      </c>
      <c r="J43" s="300"/>
      <c r="K43" s="300"/>
      <c r="L43" s="300"/>
      <c r="M43" s="300"/>
      <c r="N43" s="300"/>
    </row>
    <row r="44" spans="1:14">
      <c r="A44" s="705">
        <v>46200</v>
      </c>
      <c r="B44" s="695" t="s">
        <v>536</v>
      </c>
      <c r="C44" s="702" t="s">
        <v>359</v>
      </c>
      <c r="D44" s="703" t="s">
        <v>537</v>
      </c>
      <c r="E44" s="702" t="s">
        <v>359</v>
      </c>
      <c r="F44" s="704" t="s">
        <v>538</v>
      </c>
      <c r="G44" s="702" t="s">
        <v>359</v>
      </c>
      <c r="H44" s="702" t="s">
        <v>359</v>
      </c>
      <c r="I44" s="702" t="s">
        <v>359</v>
      </c>
      <c r="J44" s="300"/>
      <c r="K44" s="300"/>
      <c r="L44" s="300"/>
      <c r="M44" s="300"/>
      <c r="N44" s="300"/>
    </row>
    <row r="45" spans="1:14">
      <c r="A45" s="705">
        <v>46201</v>
      </c>
      <c r="B45" s="695" t="s">
        <v>539</v>
      </c>
      <c r="C45" s="702" t="s">
        <v>359</v>
      </c>
      <c r="D45" s="703" t="s">
        <v>537</v>
      </c>
      <c r="E45" s="702" t="s">
        <v>359</v>
      </c>
      <c r="F45" s="704" t="s">
        <v>538</v>
      </c>
      <c r="G45" s="702" t="s">
        <v>359</v>
      </c>
      <c r="H45" s="702" t="s">
        <v>359</v>
      </c>
      <c r="I45" s="702" t="s">
        <v>359</v>
      </c>
      <c r="J45" s="300"/>
      <c r="K45" s="300"/>
      <c r="L45" s="300"/>
      <c r="M45" s="300"/>
      <c r="N45" s="300"/>
    </row>
    <row r="46" spans="1:14">
      <c r="A46" s="705">
        <v>46202</v>
      </c>
      <c r="B46" s="695" t="s">
        <v>525</v>
      </c>
      <c r="C46" s="697" t="s">
        <v>527</v>
      </c>
      <c r="D46" s="699" t="s">
        <v>529</v>
      </c>
      <c r="E46" s="700" t="s">
        <v>530</v>
      </c>
      <c r="F46" s="698" t="s">
        <v>528</v>
      </c>
      <c r="G46" s="697" t="s">
        <v>527</v>
      </c>
      <c r="H46" s="700" t="s">
        <v>530</v>
      </c>
      <c r="I46" s="696" t="s">
        <v>526</v>
      </c>
      <c r="J46" s="300"/>
      <c r="K46" s="300"/>
      <c r="L46" s="300"/>
      <c r="M46" s="300"/>
      <c r="N46" s="300"/>
    </row>
    <row r="47" spans="1:14">
      <c r="A47" s="705">
        <v>46203</v>
      </c>
      <c r="B47" s="695" t="s">
        <v>531</v>
      </c>
      <c r="C47" s="697" t="s">
        <v>527</v>
      </c>
      <c r="D47" s="697" t="s">
        <v>527</v>
      </c>
      <c r="E47" s="700" t="s">
        <v>530</v>
      </c>
      <c r="F47" s="698" t="s">
        <v>528</v>
      </c>
      <c r="G47" s="697" t="s">
        <v>527</v>
      </c>
      <c r="H47" s="700" t="s">
        <v>530</v>
      </c>
      <c r="I47" s="699" t="s">
        <v>529</v>
      </c>
      <c r="J47" s="300"/>
      <c r="K47" s="300"/>
      <c r="L47" s="300"/>
      <c r="M47" s="300"/>
      <c r="N47" s="300"/>
    </row>
  </sheetData>
  <mergeCells count="3">
    <mergeCell ref="A1:F11"/>
    <mergeCell ref="A14:B14"/>
    <mergeCell ref="A16:B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9F09-A0EE-4295-B708-C390C803F304}">
  <sheetPr>
    <tabColor theme="8" tint="0.39997558519241921"/>
  </sheetPr>
  <dimension ref="A1:AH18"/>
  <sheetViews>
    <sheetView tabSelected="1" workbookViewId="0">
      <selection activeCell="X14" sqref="X14"/>
    </sheetView>
  </sheetViews>
  <sheetFormatPr defaultColWidth="10.42578125" defaultRowHeight="14.45"/>
  <cols>
    <col min="1" max="1" width="18.28515625" customWidth="1"/>
    <col min="2" max="3" width="0" hidden="1" customWidth="1"/>
    <col min="5" max="5" width="10" customWidth="1"/>
    <col min="9" max="9" width="11.7109375" customWidth="1"/>
    <col min="15" max="15" width="11.5703125" customWidth="1"/>
  </cols>
  <sheetData>
    <row r="1" spans="1:34" ht="23.25" customHeight="1">
      <c r="A1" s="754" t="s">
        <v>131</v>
      </c>
      <c r="B1" s="754" t="s">
        <v>352</v>
      </c>
      <c r="C1" s="745" t="s">
        <v>353</v>
      </c>
      <c r="D1" s="743" t="s">
        <v>540</v>
      </c>
      <c r="E1" s="743" t="s">
        <v>541</v>
      </c>
      <c r="F1" s="743" t="s">
        <v>542</v>
      </c>
      <c r="G1" s="743" t="s">
        <v>543</v>
      </c>
      <c r="H1" s="743" t="s">
        <v>544</v>
      </c>
      <c r="I1" s="744" t="s">
        <v>545</v>
      </c>
      <c r="J1" s="744" t="s">
        <v>546</v>
      </c>
      <c r="K1" s="743" t="s">
        <v>547</v>
      </c>
      <c r="L1" s="743" t="s">
        <v>548</v>
      </c>
      <c r="M1" s="743" t="s">
        <v>549</v>
      </c>
      <c r="N1" s="743" t="s">
        <v>550</v>
      </c>
      <c r="O1" s="743" t="s">
        <v>551</v>
      </c>
      <c r="P1" s="744" t="s">
        <v>552</v>
      </c>
      <c r="Q1" s="744" t="s">
        <v>553</v>
      </c>
      <c r="R1" s="743" t="s">
        <v>554</v>
      </c>
      <c r="S1" s="743" t="s">
        <v>555</v>
      </c>
      <c r="T1" s="743" t="s">
        <v>556</v>
      </c>
      <c r="U1" s="743" t="s">
        <v>557</v>
      </c>
      <c r="V1" s="743" t="s">
        <v>558</v>
      </c>
      <c r="W1" s="744" t="s">
        <v>559</v>
      </c>
      <c r="X1" s="744" t="s">
        <v>560</v>
      </c>
      <c r="Y1" s="743" t="s">
        <v>561</v>
      </c>
      <c r="Z1" s="743" t="s">
        <v>562</v>
      </c>
      <c r="AA1" s="743" t="s">
        <v>563</v>
      </c>
      <c r="AB1" s="743" t="s">
        <v>564</v>
      </c>
      <c r="AC1" s="743" t="s">
        <v>565</v>
      </c>
      <c r="AD1" s="744" t="s">
        <v>566</v>
      </c>
      <c r="AE1" s="744" t="s">
        <v>567</v>
      </c>
      <c r="AF1" s="743" t="s">
        <v>568</v>
      </c>
      <c r="AG1" s="743" t="s">
        <v>569</v>
      </c>
      <c r="AH1" s="653"/>
    </row>
    <row r="2" spans="1:34" ht="14.45" customHeight="1">
      <c r="A2" s="754"/>
      <c r="B2" s="754"/>
      <c r="C2" s="745"/>
      <c r="D2" s="743"/>
      <c r="E2" s="743"/>
      <c r="F2" s="743"/>
      <c r="G2" s="743"/>
      <c r="H2" s="743"/>
      <c r="I2" s="744"/>
      <c r="J2" s="744"/>
      <c r="K2" s="743"/>
      <c r="L2" s="743"/>
      <c r="M2" s="743"/>
      <c r="N2" s="743"/>
      <c r="O2" s="743"/>
      <c r="P2" s="744"/>
      <c r="Q2" s="744"/>
      <c r="R2" s="743"/>
      <c r="S2" s="743"/>
      <c r="T2" s="743"/>
      <c r="U2" s="743"/>
      <c r="V2" s="743"/>
      <c r="W2" s="744"/>
      <c r="X2" s="744"/>
      <c r="Y2" s="743"/>
      <c r="Z2" s="743"/>
      <c r="AA2" s="743"/>
      <c r="AB2" s="743"/>
      <c r="AC2" s="743"/>
      <c r="AD2" s="744"/>
      <c r="AE2" s="744"/>
      <c r="AF2" s="743"/>
      <c r="AG2" s="743"/>
      <c r="AH2" s="654"/>
    </row>
    <row r="3" spans="1:34" ht="15">
      <c r="A3" s="657" t="s">
        <v>570</v>
      </c>
      <c r="B3" s="658" t="s">
        <v>571</v>
      </c>
      <c r="C3" s="713" t="s">
        <v>571</v>
      </c>
      <c r="D3" s="737" t="s">
        <v>571</v>
      </c>
      <c r="E3" s="738" t="s">
        <v>572</v>
      </c>
      <c r="F3" s="738" t="s">
        <v>572</v>
      </c>
      <c r="G3" s="737" t="s">
        <v>571</v>
      </c>
      <c r="H3" s="737" t="s">
        <v>571</v>
      </c>
      <c r="I3" s="737" t="s">
        <v>571</v>
      </c>
      <c r="J3" s="737" t="s">
        <v>571</v>
      </c>
      <c r="K3" s="738" t="s">
        <v>572</v>
      </c>
      <c r="L3" s="738" t="s">
        <v>572</v>
      </c>
      <c r="M3" s="739" t="s">
        <v>573</v>
      </c>
      <c r="N3" s="739" t="s">
        <v>573</v>
      </c>
      <c r="O3" s="739" t="s">
        <v>573</v>
      </c>
      <c r="P3" s="739" t="s">
        <v>573</v>
      </c>
      <c r="Q3" s="739" t="s">
        <v>573</v>
      </c>
      <c r="R3" s="738" t="s">
        <v>572</v>
      </c>
      <c r="S3" s="737" t="s">
        <v>571</v>
      </c>
      <c r="T3" s="737" t="s">
        <v>571</v>
      </c>
      <c r="U3" s="738" t="s">
        <v>572</v>
      </c>
      <c r="V3" s="738" t="s">
        <v>572</v>
      </c>
      <c r="W3" s="737" t="s">
        <v>571</v>
      </c>
      <c r="X3" s="737" t="s">
        <v>571</v>
      </c>
      <c r="Y3" s="739" t="s">
        <v>573</v>
      </c>
      <c r="Z3" s="738" t="s">
        <v>572</v>
      </c>
      <c r="AA3" s="738" t="s">
        <v>572</v>
      </c>
      <c r="AB3" s="738" t="s">
        <v>574</v>
      </c>
      <c r="AC3" s="739" t="s">
        <v>573</v>
      </c>
      <c r="AD3" s="739" t="s">
        <v>573</v>
      </c>
      <c r="AE3" s="737" t="s">
        <v>575</v>
      </c>
      <c r="AF3" s="737" t="s">
        <v>575</v>
      </c>
      <c r="AG3" s="737" t="s">
        <v>575</v>
      </c>
      <c r="AH3" s="655"/>
    </row>
    <row r="4" spans="1:34" ht="15">
      <c r="A4" s="657" t="s">
        <v>368</v>
      </c>
      <c r="B4" s="658" t="s">
        <v>571</v>
      </c>
      <c r="C4" s="713" t="s">
        <v>571</v>
      </c>
      <c r="D4" s="740" t="s">
        <v>576</v>
      </c>
      <c r="E4" s="740" t="s">
        <v>576</v>
      </c>
      <c r="F4" s="740" t="s">
        <v>576</v>
      </c>
      <c r="G4" s="740" t="s">
        <v>576</v>
      </c>
      <c r="H4" s="740" t="s">
        <v>576</v>
      </c>
      <c r="I4" s="738" t="s">
        <v>572</v>
      </c>
      <c r="J4" s="738" t="s">
        <v>572</v>
      </c>
      <c r="K4" s="740" t="s">
        <v>576</v>
      </c>
      <c r="L4" s="740" t="s">
        <v>576</v>
      </c>
      <c r="M4" s="740" t="s">
        <v>576</v>
      </c>
      <c r="N4" s="740" t="s">
        <v>576</v>
      </c>
      <c r="O4" s="740" t="s">
        <v>576</v>
      </c>
      <c r="P4" s="738" t="s">
        <v>572</v>
      </c>
      <c r="Q4" s="738" t="s">
        <v>572</v>
      </c>
      <c r="R4" s="740" t="s">
        <v>576</v>
      </c>
      <c r="S4" s="740" t="s">
        <v>576</v>
      </c>
      <c r="T4" s="740" t="s">
        <v>576</v>
      </c>
      <c r="U4" s="740" t="s">
        <v>576</v>
      </c>
      <c r="V4" s="740" t="s">
        <v>576</v>
      </c>
      <c r="W4" s="738" t="s">
        <v>572</v>
      </c>
      <c r="X4" s="738" t="s">
        <v>572</v>
      </c>
      <c r="Y4" s="740" t="s">
        <v>576</v>
      </c>
      <c r="Z4" s="740" t="s">
        <v>576</v>
      </c>
      <c r="AA4" s="740" t="s">
        <v>576</v>
      </c>
      <c r="AB4" s="740" t="s">
        <v>576</v>
      </c>
      <c r="AC4" s="740" t="s">
        <v>576</v>
      </c>
      <c r="AD4" s="738" t="s">
        <v>572</v>
      </c>
      <c r="AE4" s="738" t="s">
        <v>572</v>
      </c>
      <c r="AF4" s="740" t="s">
        <v>576</v>
      </c>
      <c r="AG4" s="740" t="s">
        <v>576</v>
      </c>
      <c r="AH4" s="655"/>
    </row>
    <row r="5" spans="1:34" ht="15">
      <c r="A5" s="657" t="s">
        <v>577</v>
      </c>
      <c r="B5" s="659" t="s">
        <v>573</v>
      </c>
      <c r="C5" s="714" t="s">
        <v>573</v>
      </c>
      <c r="D5" s="741" t="s">
        <v>571</v>
      </c>
      <c r="E5" s="741" t="s">
        <v>571</v>
      </c>
      <c r="F5" s="741" t="s">
        <v>571</v>
      </c>
      <c r="G5" s="741" t="s">
        <v>571</v>
      </c>
      <c r="H5" s="741" t="s">
        <v>571</v>
      </c>
      <c r="I5" s="738" t="s">
        <v>572</v>
      </c>
      <c r="J5" s="738" t="s">
        <v>572</v>
      </c>
      <c r="K5" s="741" t="s">
        <v>571</v>
      </c>
      <c r="L5" s="741" t="s">
        <v>571</v>
      </c>
      <c r="M5" s="741" t="s">
        <v>571</v>
      </c>
      <c r="N5" s="741" t="s">
        <v>571</v>
      </c>
      <c r="O5" s="741" t="s">
        <v>571</v>
      </c>
      <c r="P5" s="738" t="s">
        <v>572</v>
      </c>
      <c r="Q5" s="738" t="s">
        <v>572</v>
      </c>
      <c r="R5" s="741" t="s">
        <v>571</v>
      </c>
      <c r="S5" s="741" t="s">
        <v>574</v>
      </c>
      <c r="T5" s="741" t="s">
        <v>574</v>
      </c>
      <c r="U5" s="741" t="s">
        <v>571</v>
      </c>
      <c r="V5" s="741" t="s">
        <v>571</v>
      </c>
      <c r="W5" s="738" t="s">
        <v>572</v>
      </c>
      <c r="X5" s="738" t="s">
        <v>572</v>
      </c>
      <c r="Y5" s="741" t="s">
        <v>571</v>
      </c>
      <c r="Z5" s="742" t="s">
        <v>572</v>
      </c>
      <c r="AA5" s="742" t="s">
        <v>572</v>
      </c>
      <c r="AB5" s="741" t="s">
        <v>571</v>
      </c>
      <c r="AC5" s="741" t="s">
        <v>571</v>
      </c>
      <c r="AD5" s="741" t="s">
        <v>571</v>
      </c>
      <c r="AE5" s="741" t="s">
        <v>571</v>
      </c>
      <c r="AF5" s="741" t="s">
        <v>571</v>
      </c>
      <c r="AG5" s="741" t="s">
        <v>571</v>
      </c>
      <c r="AH5" s="655"/>
    </row>
    <row r="6" spans="1:34" ht="15">
      <c r="A6" s="657" t="s">
        <v>578</v>
      </c>
      <c r="B6" s="660" t="s">
        <v>572</v>
      </c>
      <c r="C6" s="715" t="s">
        <v>572</v>
      </c>
      <c r="D6" s="741" t="s">
        <v>579</v>
      </c>
      <c r="E6" s="741" t="s">
        <v>579</v>
      </c>
      <c r="F6" s="741" t="s">
        <v>579</v>
      </c>
      <c r="G6" s="741" t="s">
        <v>579</v>
      </c>
      <c r="H6" s="741" t="s">
        <v>579</v>
      </c>
      <c r="I6" s="738" t="s">
        <v>572</v>
      </c>
      <c r="J6" s="738" t="s">
        <v>572</v>
      </c>
      <c r="K6" s="741" t="s">
        <v>579</v>
      </c>
      <c r="L6" s="741" t="s">
        <v>579</v>
      </c>
      <c r="M6" s="741" t="s">
        <v>579</v>
      </c>
      <c r="N6" s="741" t="s">
        <v>579</v>
      </c>
      <c r="O6" s="741" t="s">
        <v>579</v>
      </c>
      <c r="P6" s="738" t="s">
        <v>572</v>
      </c>
      <c r="Q6" s="738" t="s">
        <v>572</v>
      </c>
      <c r="R6" s="741" t="s">
        <v>579</v>
      </c>
      <c r="S6" s="741" t="s">
        <v>579</v>
      </c>
      <c r="T6" s="741" t="s">
        <v>579</v>
      </c>
      <c r="U6" s="741" t="s">
        <v>579</v>
      </c>
      <c r="V6" s="741" t="s">
        <v>579</v>
      </c>
      <c r="W6" s="738" t="s">
        <v>572</v>
      </c>
      <c r="X6" s="738" t="s">
        <v>572</v>
      </c>
      <c r="Y6" s="741" t="s">
        <v>579</v>
      </c>
      <c r="Z6" s="741" t="s">
        <v>579</v>
      </c>
      <c r="AA6" s="741" t="s">
        <v>579</v>
      </c>
      <c r="AB6" s="741" t="s">
        <v>579</v>
      </c>
      <c r="AC6" s="741" t="s">
        <v>579</v>
      </c>
      <c r="AD6" s="738" t="s">
        <v>572</v>
      </c>
      <c r="AE6" s="738" t="s">
        <v>572</v>
      </c>
      <c r="AF6" s="741" t="s">
        <v>579</v>
      </c>
      <c r="AG6" s="741" t="s">
        <v>579</v>
      </c>
      <c r="AH6" s="656"/>
    </row>
    <row r="7" spans="1:34" ht="15">
      <c r="A7" s="657" t="s">
        <v>580</v>
      </c>
      <c r="B7" s="661" t="s">
        <v>576</v>
      </c>
      <c r="C7" s="716" t="s">
        <v>576</v>
      </c>
      <c r="D7" s="737" t="s">
        <v>575</v>
      </c>
      <c r="E7" s="738" t="s">
        <v>572</v>
      </c>
      <c r="F7" s="738" t="s">
        <v>572</v>
      </c>
      <c r="G7" s="737" t="s">
        <v>575</v>
      </c>
      <c r="H7" s="737" t="s">
        <v>575</v>
      </c>
      <c r="I7" s="737" t="s">
        <v>575</v>
      </c>
      <c r="J7" s="737" t="s">
        <v>575</v>
      </c>
      <c r="K7" s="737" t="s">
        <v>575</v>
      </c>
      <c r="L7" s="737" t="s">
        <v>575</v>
      </c>
      <c r="M7" s="738" t="s">
        <v>572</v>
      </c>
      <c r="N7" s="738" t="s">
        <v>572</v>
      </c>
      <c r="O7" s="737" t="s">
        <v>575</v>
      </c>
      <c r="P7" s="737" t="s">
        <v>575</v>
      </c>
      <c r="Q7" s="737" t="s">
        <v>575</v>
      </c>
      <c r="R7" s="737" t="s">
        <v>575</v>
      </c>
      <c r="S7" s="738" t="s">
        <v>572</v>
      </c>
      <c r="T7" s="738" t="s">
        <v>572</v>
      </c>
      <c r="U7" s="737" t="s">
        <v>575</v>
      </c>
      <c r="V7" s="737" t="s">
        <v>573</v>
      </c>
      <c r="W7" s="737" t="s">
        <v>575</v>
      </c>
      <c r="X7" s="737" t="s">
        <v>575</v>
      </c>
      <c r="Y7" s="737" t="s">
        <v>575</v>
      </c>
      <c r="Z7" s="737" t="s">
        <v>571</v>
      </c>
      <c r="AA7" s="737" t="s">
        <v>571</v>
      </c>
      <c r="AB7" s="738" t="s">
        <v>572</v>
      </c>
      <c r="AC7" s="738" t="s">
        <v>572</v>
      </c>
      <c r="AD7" s="740" t="s">
        <v>576</v>
      </c>
      <c r="AE7" s="740" t="s">
        <v>576</v>
      </c>
      <c r="AF7" s="738" t="s">
        <v>572</v>
      </c>
      <c r="AG7" s="737" t="s">
        <v>575</v>
      </c>
      <c r="AH7" s="656"/>
    </row>
    <row r="8" spans="1:34" ht="15">
      <c r="A8" s="657" t="s">
        <v>581</v>
      </c>
      <c r="B8" s="660" t="s">
        <v>572</v>
      </c>
      <c r="C8" s="717" t="s">
        <v>582</v>
      </c>
      <c r="D8" s="741" t="s">
        <v>582</v>
      </c>
      <c r="E8" s="741" t="s">
        <v>582</v>
      </c>
      <c r="F8" s="741" t="s">
        <v>582</v>
      </c>
      <c r="G8" s="738" t="s">
        <v>572</v>
      </c>
      <c r="H8" s="738" t="s">
        <v>572</v>
      </c>
      <c r="I8" s="741" t="s">
        <v>582</v>
      </c>
      <c r="J8" s="741" t="s">
        <v>582</v>
      </c>
      <c r="K8" s="741" t="s">
        <v>582</v>
      </c>
      <c r="L8" s="741" t="s">
        <v>582</v>
      </c>
      <c r="M8" s="741" t="s">
        <v>582</v>
      </c>
      <c r="N8" s="738" t="s">
        <v>572</v>
      </c>
      <c r="O8" s="738" t="s">
        <v>572</v>
      </c>
      <c r="P8" s="741" t="s">
        <v>582</v>
      </c>
      <c r="Q8" s="741" t="s">
        <v>582</v>
      </c>
      <c r="R8" s="741" t="s">
        <v>582</v>
      </c>
      <c r="S8" s="741" t="s">
        <v>582</v>
      </c>
      <c r="T8" s="741" t="s">
        <v>582</v>
      </c>
      <c r="U8" s="738" t="s">
        <v>572</v>
      </c>
      <c r="V8" s="738" t="s">
        <v>572</v>
      </c>
      <c r="W8" s="741" t="s">
        <v>582</v>
      </c>
      <c r="X8" s="741" t="s">
        <v>582</v>
      </c>
      <c r="Y8" s="741" t="s">
        <v>582</v>
      </c>
      <c r="Z8" s="738" t="s">
        <v>572</v>
      </c>
      <c r="AA8" s="738" t="s">
        <v>572</v>
      </c>
      <c r="AB8" s="741" t="s">
        <v>582</v>
      </c>
      <c r="AC8" s="741" t="s">
        <v>582</v>
      </c>
      <c r="AD8" s="741" t="s">
        <v>582</v>
      </c>
      <c r="AE8" s="741" t="s">
        <v>582</v>
      </c>
      <c r="AF8" s="741" t="s">
        <v>582</v>
      </c>
      <c r="AG8" s="741" t="s">
        <v>582</v>
      </c>
      <c r="AH8" s="655"/>
    </row>
    <row r="9" spans="1:34">
      <c r="C9" s="298"/>
    </row>
    <row r="11" spans="1:34" ht="14.45" customHeight="1">
      <c r="A11" s="746" t="s">
        <v>378</v>
      </c>
      <c r="B11" s="747"/>
      <c r="D11" s="324" t="s">
        <v>583</v>
      </c>
      <c r="E11" s="324" t="s">
        <v>309</v>
      </c>
    </row>
    <row r="12" spans="1:34" ht="15.75" customHeight="1">
      <c r="A12" s="750" t="s">
        <v>360</v>
      </c>
      <c r="B12" s="259" t="s">
        <v>379</v>
      </c>
      <c r="D12" s="320" t="s">
        <v>571</v>
      </c>
      <c r="E12" s="325" t="s">
        <v>584</v>
      </c>
    </row>
    <row r="13" spans="1:34" ht="14.45" customHeight="1">
      <c r="A13" s="751"/>
      <c r="D13" s="320" t="s">
        <v>573</v>
      </c>
      <c r="E13" s="322" t="s">
        <v>585</v>
      </c>
    </row>
    <row r="14" spans="1:34" ht="14.45" customHeight="1">
      <c r="A14" s="752" t="s">
        <v>357</v>
      </c>
      <c r="D14" s="320" t="s">
        <v>575</v>
      </c>
      <c r="E14" s="323" t="s">
        <v>586</v>
      </c>
    </row>
    <row r="15" spans="1:34" ht="14.45" customHeight="1">
      <c r="A15" s="753"/>
      <c r="D15" s="320" t="s">
        <v>579</v>
      </c>
      <c r="E15" s="328" t="s">
        <v>587</v>
      </c>
    </row>
    <row r="16" spans="1:34" ht="14.45" customHeight="1">
      <c r="A16" s="753"/>
      <c r="D16" s="320" t="s">
        <v>588</v>
      </c>
      <c r="E16" s="326" t="s">
        <v>589</v>
      </c>
    </row>
    <row r="17" spans="1:5" ht="14.45" customHeight="1">
      <c r="A17" s="748" t="s">
        <v>358</v>
      </c>
      <c r="D17" s="320" t="s">
        <v>576</v>
      </c>
      <c r="E17" s="327" t="s">
        <v>590</v>
      </c>
    </row>
    <row r="18" spans="1:5" ht="14.45" customHeight="1">
      <c r="A18" s="749"/>
      <c r="D18" s="320" t="s">
        <v>582</v>
      </c>
      <c r="E18" s="320" t="s">
        <v>591</v>
      </c>
    </row>
  </sheetData>
  <mergeCells count="37">
    <mergeCell ref="C1:C2"/>
    <mergeCell ref="A11:B11"/>
    <mergeCell ref="A17:A18"/>
    <mergeCell ref="A12:A13"/>
    <mergeCell ref="A14:A16"/>
    <mergeCell ref="A1:A2"/>
    <mergeCell ref="B1:B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</mergeCells>
  <dataValidations count="1">
    <dataValidation type="list" showErrorMessage="1" errorTitle="Invalid code" error="Valid: S1, S1.5, S2, S3, S4, S5, S6, OFF, P.Leave, Emerg., CompOff, CTS HL" sqref="D3:AG8" xr:uid="{BA1A1137-BFDD-429F-8514-D335598ACE13}">
      <formula1>"S1,S1.5,S2,S3,S4,S5,S6,OFF,P.Leave,Emerg.,CompOff,CTS HL"</formula1>
      <formula2>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B572-D8F3-4A4D-B05F-F0F079152A3C}">
  <sheetPr>
    <tabColor rgb="FF92D050"/>
  </sheetPr>
  <dimension ref="A1:AM35"/>
  <sheetViews>
    <sheetView workbookViewId="0">
      <selection activeCell="F12" sqref="F12:L15"/>
    </sheetView>
  </sheetViews>
  <sheetFormatPr defaultColWidth="10.140625" defaultRowHeight="15" customHeight="1"/>
  <cols>
    <col min="1" max="1" width="13.7109375" customWidth="1"/>
    <col min="2" max="2" width="47.5703125" customWidth="1"/>
    <col min="3" max="3" width="12.85546875" customWidth="1"/>
    <col min="4" max="4" width="15" customWidth="1"/>
    <col min="5" max="5" width="8.7109375" customWidth="1"/>
  </cols>
  <sheetData>
    <row r="1" spans="1:39">
      <c r="A1" s="318"/>
      <c r="B1" s="336"/>
      <c r="C1" s="318"/>
      <c r="D1" s="318"/>
      <c r="E1" s="432" t="s">
        <v>525</v>
      </c>
      <c r="F1" s="432" t="s">
        <v>531</v>
      </c>
      <c r="G1" s="432" t="s">
        <v>533</v>
      </c>
      <c r="H1" s="432" t="s">
        <v>534</v>
      </c>
      <c r="I1" s="432" t="s">
        <v>535</v>
      </c>
      <c r="J1" s="432" t="s">
        <v>536</v>
      </c>
      <c r="K1" s="432" t="s">
        <v>539</v>
      </c>
      <c r="L1" s="432" t="s">
        <v>525</v>
      </c>
      <c r="M1" s="432" t="s">
        <v>531</v>
      </c>
      <c r="N1" s="432" t="s">
        <v>533</v>
      </c>
      <c r="O1" s="432" t="s">
        <v>534</v>
      </c>
      <c r="P1" s="432" t="s">
        <v>535</v>
      </c>
      <c r="Q1" s="432" t="s">
        <v>536</v>
      </c>
      <c r="R1" s="432" t="s">
        <v>539</v>
      </c>
      <c r="S1" s="432" t="s">
        <v>525</v>
      </c>
      <c r="T1" s="432" t="s">
        <v>531</v>
      </c>
      <c r="U1" s="432" t="s">
        <v>533</v>
      </c>
      <c r="V1" s="432" t="s">
        <v>534</v>
      </c>
      <c r="W1" s="432" t="s">
        <v>535</v>
      </c>
      <c r="X1" s="432" t="s">
        <v>536</v>
      </c>
      <c r="Y1" s="432" t="s">
        <v>539</v>
      </c>
      <c r="Z1" s="432" t="s">
        <v>525</v>
      </c>
      <c r="AA1" s="432" t="s">
        <v>531</v>
      </c>
      <c r="AB1" s="432" t="s">
        <v>533</v>
      </c>
      <c r="AC1" s="432" t="s">
        <v>534</v>
      </c>
      <c r="AD1" s="432" t="s">
        <v>535</v>
      </c>
      <c r="AE1" s="432" t="s">
        <v>536</v>
      </c>
      <c r="AF1" s="432" t="s">
        <v>539</v>
      </c>
      <c r="AG1" s="432" t="s">
        <v>525</v>
      </c>
      <c r="AH1" s="432" t="s">
        <v>531</v>
      </c>
    </row>
    <row r="2" spans="1:39">
      <c r="A2" s="333" t="s">
        <v>592</v>
      </c>
      <c r="B2" s="330" t="s">
        <v>593</v>
      </c>
      <c r="C2" s="335" t="s">
        <v>594</v>
      </c>
      <c r="D2" s="319" t="s">
        <v>595</v>
      </c>
      <c r="E2" s="712">
        <v>46174</v>
      </c>
      <c r="F2" s="712">
        <v>46175</v>
      </c>
      <c r="G2" s="712">
        <v>46176</v>
      </c>
      <c r="H2" s="712">
        <v>46177</v>
      </c>
      <c r="I2" s="712">
        <v>46178</v>
      </c>
      <c r="J2" s="712">
        <v>46179</v>
      </c>
      <c r="K2" s="712">
        <v>46180</v>
      </c>
      <c r="L2" s="712">
        <v>46181</v>
      </c>
      <c r="M2" s="712">
        <v>46182</v>
      </c>
      <c r="N2" s="712">
        <v>46183</v>
      </c>
      <c r="O2" s="712">
        <v>46184</v>
      </c>
      <c r="P2" s="712">
        <v>46185</v>
      </c>
      <c r="Q2" s="712">
        <v>46186</v>
      </c>
      <c r="R2" s="712">
        <v>46187</v>
      </c>
      <c r="S2" s="712">
        <v>46188</v>
      </c>
      <c r="T2" s="712">
        <v>46189</v>
      </c>
      <c r="U2" s="712">
        <v>46190</v>
      </c>
      <c r="V2" s="712">
        <v>46191</v>
      </c>
      <c r="W2" s="712">
        <v>46192</v>
      </c>
      <c r="X2" s="712">
        <v>46193</v>
      </c>
      <c r="Y2" s="712">
        <v>46194</v>
      </c>
      <c r="Z2" s="712">
        <v>46195</v>
      </c>
      <c r="AA2" s="712">
        <v>46196</v>
      </c>
      <c r="AB2" s="712">
        <v>46197</v>
      </c>
      <c r="AC2" s="712">
        <v>46198</v>
      </c>
      <c r="AD2" s="712">
        <v>46199</v>
      </c>
      <c r="AE2" s="712">
        <v>46200</v>
      </c>
      <c r="AF2" s="712">
        <v>46201</v>
      </c>
      <c r="AG2" s="712">
        <v>46202</v>
      </c>
      <c r="AH2" s="712">
        <v>46203</v>
      </c>
      <c r="AM2" s="433">
        <v>46208</v>
      </c>
    </row>
    <row r="3" spans="1:39">
      <c r="A3" s="334" t="s">
        <v>580</v>
      </c>
      <c r="B3" s="331" t="s">
        <v>596</v>
      </c>
      <c r="C3" s="321">
        <v>8056207057</v>
      </c>
      <c r="D3" s="711" t="s">
        <v>597</v>
      </c>
      <c r="E3" s="706" t="s">
        <v>575</v>
      </c>
      <c r="F3" s="707" t="s">
        <v>572</v>
      </c>
      <c r="G3" s="707" t="s">
        <v>572</v>
      </c>
      <c r="H3" s="706" t="s">
        <v>575</v>
      </c>
      <c r="I3" s="706" t="s">
        <v>575</v>
      </c>
      <c r="J3" s="706" t="s">
        <v>575</v>
      </c>
      <c r="K3" s="706" t="s">
        <v>575</v>
      </c>
      <c r="L3" s="706" t="s">
        <v>575</v>
      </c>
      <c r="M3" s="707" t="s">
        <v>572</v>
      </c>
      <c r="N3" s="707" t="s">
        <v>572</v>
      </c>
      <c r="O3" s="706" t="s">
        <v>575</v>
      </c>
      <c r="P3" s="706" t="s">
        <v>575</v>
      </c>
      <c r="Q3" s="706" t="s">
        <v>575</v>
      </c>
      <c r="R3" s="706" t="s">
        <v>575</v>
      </c>
      <c r="S3" s="706" t="s">
        <v>575</v>
      </c>
      <c r="T3" s="707" t="s">
        <v>572</v>
      </c>
      <c r="U3" s="707" t="s">
        <v>572</v>
      </c>
      <c r="V3" s="706" t="s">
        <v>575</v>
      </c>
      <c r="W3" s="706" t="s">
        <v>573</v>
      </c>
      <c r="X3" s="706" t="s">
        <v>575</v>
      </c>
      <c r="Y3" s="706" t="s">
        <v>575</v>
      </c>
      <c r="Z3" s="706" t="s">
        <v>571</v>
      </c>
      <c r="AA3" s="706" t="s">
        <v>571</v>
      </c>
      <c r="AB3" s="706" t="s">
        <v>571</v>
      </c>
      <c r="AC3" s="707" t="s">
        <v>572</v>
      </c>
      <c r="AD3" s="707" t="s">
        <v>572</v>
      </c>
      <c r="AE3" s="706" t="s">
        <v>576</v>
      </c>
      <c r="AF3" s="706" t="s">
        <v>576</v>
      </c>
      <c r="AG3" s="706" t="s">
        <v>572</v>
      </c>
      <c r="AH3" s="706" t="s">
        <v>575</v>
      </c>
    </row>
    <row r="4" spans="1:39">
      <c r="A4" s="334" t="s">
        <v>598</v>
      </c>
      <c r="B4" s="331" t="s">
        <v>599</v>
      </c>
      <c r="C4" s="321">
        <v>7092237034</v>
      </c>
      <c r="D4" s="711" t="s">
        <v>597</v>
      </c>
      <c r="E4" s="708" t="s">
        <v>571</v>
      </c>
      <c r="F4" s="708" t="s">
        <v>571</v>
      </c>
      <c r="G4" s="708" t="s">
        <v>571</v>
      </c>
      <c r="H4" s="708" t="s">
        <v>571</v>
      </c>
      <c r="I4" s="708" t="s">
        <v>571</v>
      </c>
      <c r="J4" s="707" t="s">
        <v>572</v>
      </c>
      <c r="K4" s="707" t="s">
        <v>572</v>
      </c>
      <c r="L4" s="708" t="s">
        <v>571</v>
      </c>
      <c r="M4" s="708" t="s">
        <v>571</v>
      </c>
      <c r="N4" s="708" t="s">
        <v>571</v>
      </c>
      <c r="O4" s="708" t="s">
        <v>571</v>
      </c>
      <c r="P4" s="708" t="s">
        <v>571</v>
      </c>
      <c r="Q4" s="707" t="s">
        <v>572</v>
      </c>
      <c r="R4" s="707" t="s">
        <v>572</v>
      </c>
      <c r="S4" s="708" t="s">
        <v>571</v>
      </c>
      <c r="T4" s="708" t="s">
        <v>574</v>
      </c>
      <c r="U4" s="708" t="s">
        <v>574</v>
      </c>
      <c r="V4" s="708" t="s">
        <v>571</v>
      </c>
      <c r="W4" s="708" t="s">
        <v>571</v>
      </c>
      <c r="X4" s="707" t="s">
        <v>572</v>
      </c>
      <c r="Y4" s="707" t="s">
        <v>572</v>
      </c>
      <c r="Z4" s="708" t="s">
        <v>571</v>
      </c>
      <c r="AA4" s="709" t="s">
        <v>572</v>
      </c>
      <c r="AB4" s="709" t="s">
        <v>572</v>
      </c>
      <c r="AC4" s="708" t="s">
        <v>571</v>
      </c>
      <c r="AD4" s="708" t="s">
        <v>571</v>
      </c>
      <c r="AE4" s="708" t="s">
        <v>571</v>
      </c>
      <c r="AF4" s="708" t="s">
        <v>571</v>
      </c>
      <c r="AG4" s="708" t="s">
        <v>571</v>
      </c>
      <c r="AH4" s="708" t="s">
        <v>571</v>
      </c>
    </row>
    <row r="5" spans="1:39">
      <c r="A5" s="334" t="s">
        <v>578</v>
      </c>
      <c r="B5" s="332" t="s">
        <v>600</v>
      </c>
      <c r="C5" s="321">
        <v>9944610867</v>
      </c>
      <c r="D5" s="711" t="s">
        <v>597</v>
      </c>
      <c r="E5" s="708" t="s">
        <v>579</v>
      </c>
      <c r="F5" s="708" t="s">
        <v>579</v>
      </c>
      <c r="G5" s="708" t="s">
        <v>579</v>
      </c>
      <c r="H5" s="708" t="s">
        <v>579</v>
      </c>
      <c r="I5" s="708" t="s">
        <v>579</v>
      </c>
      <c r="J5" s="707" t="s">
        <v>572</v>
      </c>
      <c r="K5" s="707" t="s">
        <v>572</v>
      </c>
      <c r="L5" s="708" t="s">
        <v>579</v>
      </c>
      <c r="M5" s="708" t="s">
        <v>579</v>
      </c>
      <c r="N5" s="708" t="s">
        <v>579</v>
      </c>
      <c r="O5" s="708" t="s">
        <v>579</v>
      </c>
      <c r="P5" s="708" t="s">
        <v>579</v>
      </c>
      <c r="Q5" s="707" t="s">
        <v>572</v>
      </c>
      <c r="R5" s="707" t="s">
        <v>572</v>
      </c>
      <c r="S5" s="708" t="s">
        <v>579</v>
      </c>
      <c r="T5" s="708" t="s">
        <v>579</v>
      </c>
      <c r="U5" s="708" t="s">
        <v>579</v>
      </c>
      <c r="V5" s="708" t="s">
        <v>579</v>
      </c>
      <c r="W5" s="708" t="s">
        <v>579</v>
      </c>
      <c r="X5" s="707" t="s">
        <v>572</v>
      </c>
      <c r="Y5" s="707" t="s">
        <v>572</v>
      </c>
      <c r="Z5" s="708" t="s">
        <v>579</v>
      </c>
      <c r="AA5" s="708" t="s">
        <v>579</v>
      </c>
      <c r="AB5" s="708" t="s">
        <v>579</v>
      </c>
      <c r="AC5" s="708" t="s">
        <v>579</v>
      </c>
      <c r="AD5" s="708" t="s">
        <v>579</v>
      </c>
      <c r="AE5" s="707" t="s">
        <v>572</v>
      </c>
      <c r="AF5" s="707" t="s">
        <v>572</v>
      </c>
      <c r="AG5" s="708" t="s">
        <v>579</v>
      </c>
      <c r="AH5" s="708" t="s">
        <v>579</v>
      </c>
    </row>
    <row r="6" spans="1:39">
      <c r="A6" s="334" t="s">
        <v>368</v>
      </c>
      <c r="B6" s="332" t="s">
        <v>369</v>
      </c>
      <c r="C6" s="321">
        <v>9092429640</v>
      </c>
      <c r="D6" s="711" t="s">
        <v>597</v>
      </c>
      <c r="E6" s="710" t="s">
        <v>576</v>
      </c>
      <c r="F6" s="710" t="s">
        <v>576</v>
      </c>
      <c r="G6" s="710" t="s">
        <v>576</v>
      </c>
      <c r="H6" s="710" t="s">
        <v>576</v>
      </c>
      <c r="I6" s="710" t="s">
        <v>576</v>
      </c>
      <c r="J6" s="707" t="s">
        <v>572</v>
      </c>
      <c r="K6" s="707" t="s">
        <v>572</v>
      </c>
      <c r="L6" s="710" t="s">
        <v>576</v>
      </c>
      <c r="M6" s="710" t="s">
        <v>576</v>
      </c>
      <c r="N6" s="710" t="s">
        <v>576</v>
      </c>
      <c r="O6" s="710" t="s">
        <v>576</v>
      </c>
      <c r="P6" s="710" t="s">
        <v>576</v>
      </c>
      <c r="Q6" s="707" t="s">
        <v>572</v>
      </c>
      <c r="R6" s="707" t="s">
        <v>572</v>
      </c>
      <c r="S6" s="710" t="s">
        <v>576</v>
      </c>
      <c r="T6" s="710" t="s">
        <v>576</v>
      </c>
      <c r="U6" s="710" t="s">
        <v>576</v>
      </c>
      <c r="V6" s="710" t="s">
        <v>576</v>
      </c>
      <c r="W6" s="710" t="s">
        <v>576</v>
      </c>
      <c r="X6" s="707" t="s">
        <v>572</v>
      </c>
      <c r="Y6" s="707" t="s">
        <v>572</v>
      </c>
      <c r="Z6" s="710" t="s">
        <v>576</v>
      </c>
      <c r="AA6" s="710" t="s">
        <v>576</v>
      </c>
      <c r="AB6" s="710" t="s">
        <v>576</v>
      </c>
      <c r="AC6" s="710" t="s">
        <v>576</v>
      </c>
      <c r="AD6" s="710" t="s">
        <v>576</v>
      </c>
      <c r="AE6" s="707" t="s">
        <v>572</v>
      </c>
      <c r="AF6" s="707" t="s">
        <v>572</v>
      </c>
      <c r="AG6" s="710" t="s">
        <v>576</v>
      </c>
      <c r="AH6" s="710" t="s">
        <v>576</v>
      </c>
    </row>
    <row r="7" spans="1:39">
      <c r="A7" s="334" t="s">
        <v>570</v>
      </c>
      <c r="B7" s="331" t="s">
        <v>375</v>
      </c>
      <c r="C7" s="321">
        <v>7288932925</v>
      </c>
      <c r="D7" s="711" t="s">
        <v>597</v>
      </c>
      <c r="E7" s="706" t="s">
        <v>571</v>
      </c>
      <c r="F7" s="707" t="s">
        <v>572</v>
      </c>
      <c r="G7" s="707" t="s">
        <v>572</v>
      </c>
      <c r="H7" s="706" t="s">
        <v>571</v>
      </c>
      <c r="I7" s="706" t="s">
        <v>571</v>
      </c>
      <c r="J7" s="706" t="s">
        <v>571</v>
      </c>
      <c r="K7" s="706" t="s">
        <v>571</v>
      </c>
      <c r="L7" s="706" t="s">
        <v>571</v>
      </c>
      <c r="M7" s="707" t="s">
        <v>572</v>
      </c>
      <c r="N7" s="707" t="s">
        <v>572</v>
      </c>
      <c r="O7" s="706" t="s">
        <v>571</v>
      </c>
      <c r="P7" s="706" t="s">
        <v>571</v>
      </c>
      <c r="Q7" s="706" t="s">
        <v>571</v>
      </c>
      <c r="R7" s="706" t="s">
        <v>571</v>
      </c>
      <c r="S7" s="706" t="s">
        <v>571</v>
      </c>
      <c r="T7" s="706" t="s">
        <v>571</v>
      </c>
      <c r="U7" s="706" t="s">
        <v>571</v>
      </c>
      <c r="V7" s="707" t="s">
        <v>572</v>
      </c>
      <c r="W7" s="707" t="s">
        <v>572</v>
      </c>
      <c r="X7" s="706" t="s">
        <v>571</v>
      </c>
      <c r="Y7" s="706" t="s">
        <v>571</v>
      </c>
      <c r="Z7" s="706" t="s">
        <v>575</v>
      </c>
      <c r="AA7" s="707" t="s">
        <v>572</v>
      </c>
      <c r="AB7" s="707" t="s">
        <v>572</v>
      </c>
      <c r="AC7" s="707" t="s">
        <v>574</v>
      </c>
      <c r="AD7" s="706" t="s">
        <v>573</v>
      </c>
      <c r="AE7" s="706" t="s">
        <v>575</v>
      </c>
      <c r="AF7" s="706" t="s">
        <v>575</v>
      </c>
      <c r="AG7" s="706" t="s">
        <v>575</v>
      </c>
      <c r="AH7" s="706" t="s">
        <v>575</v>
      </c>
    </row>
    <row r="8" spans="1:39">
      <c r="A8" s="334" t="s">
        <v>601</v>
      </c>
      <c r="B8" s="332" t="s">
        <v>602</v>
      </c>
      <c r="C8" s="321">
        <v>8853966352</v>
      </c>
      <c r="D8" s="711" t="s">
        <v>597</v>
      </c>
      <c r="E8" s="708" t="s">
        <v>582</v>
      </c>
      <c r="F8" s="707" t="s">
        <v>572</v>
      </c>
      <c r="G8" s="707" t="s">
        <v>572</v>
      </c>
      <c r="H8" s="708" t="s">
        <v>582</v>
      </c>
      <c r="I8" s="708" t="s">
        <v>582</v>
      </c>
      <c r="J8" s="708" t="s">
        <v>576</v>
      </c>
      <c r="K8" s="708" t="s">
        <v>576</v>
      </c>
      <c r="L8" s="708" t="s">
        <v>582</v>
      </c>
      <c r="M8" s="707" t="s">
        <v>572</v>
      </c>
      <c r="N8" s="707" t="s">
        <v>572</v>
      </c>
      <c r="O8" s="708" t="s">
        <v>582</v>
      </c>
      <c r="P8" s="708" t="s">
        <v>582</v>
      </c>
      <c r="Q8" s="708" t="s">
        <v>576</v>
      </c>
      <c r="R8" s="708" t="s">
        <v>576</v>
      </c>
      <c r="S8" s="707" t="s">
        <v>572</v>
      </c>
      <c r="T8" s="707" t="s">
        <v>572</v>
      </c>
      <c r="U8" s="708" t="s">
        <v>582</v>
      </c>
      <c r="V8" s="708" t="s">
        <v>582</v>
      </c>
      <c r="W8" s="708" t="s">
        <v>582</v>
      </c>
      <c r="X8" s="708" t="s">
        <v>576</v>
      </c>
      <c r="Y8" s="708" t="s">
        <v>576</v>
      </c>
      <c r="Z8" s="708" t="s">
        <v>582</v>
      </c>
      <c r="AA8" s="708" t="s">
        <v>582</v>
      </c>
      <c r="AB8" s="708" t="s">
        <v>582</v>
      </c>
      <c r="AC8" s="708" t="s">
        <v>582</v>
      </c>
      <c r="AD8" s="708" t="s">
        <v>574</v>
      </c>
      <c r="AE8" s="707" t="s">
        <v>572</v>
      </c>
      <c r="AF8" s="707" t="s">
        <v>572</v>
      </c>
      <c r="AG8" s="708" t="s">
        <v>582</v>
      </c>
      <c r="AH8" s="708" t="s">
        <v>582</v>
      </c>
    </row>
    <row r="9" spans="1:39">
      <c r="A9" s="334" t="s">
        <v>581</v>
      </c>
      <c r="B9" s="332" t="s">
        <v>603</v>
      </c>
      <c r="C9" s="321">
        <v>8098755238</v>
      </c>
      <c r="D9" s="711" t="s">
        <v>597</v>
      </c>
      <c r="E9" s="708" t="s">
        <v>582</v>
      </c>
      <c r="F9" s="708" t="s">
        <v>582</v>
      </c>
      <c r="G9" s="708" t="s">
        <v>582</v>
      </c>
      <c r="H9" s="707" t="s">
        <v>572</v>
      </c>
      <c r="I9" s="707" t="s">
        <v>572</v>
      </c>
      <c r="J9" s="708" t="s">
        <v>582</v>
      </c>
      <c r="K9" s="708" t="s">
        <v>582</v>
      </c>
      <c r="L9" s="708" t="s">
        <v>582</v>
      </c>
      <c r="M9" s="708" t="s">
        <v>582</v>
      </c>
      <c r="N9" s="708" t="s">
        <v>582</v>
      </c>
      <c r="O9" s="707" t="s">
        <v>572</v>
      </c>
      <c r="P9" s="707" t="s">
        <v>572</v>
      </c>
      <c r="Q9" s="708" t="s">
        <v>582</v>
      </c>
      <c r="R9" s="708" t="s">
        <v>582</v>
      </c>
      <c r="S9" s="708" t="s">
        <v>582</v>
      </c>
      <c r="T9" s="708" t="s">
        <v>582</v>
      </c>
      <c r="U9" s="708" t="s">
        <v>582</v>
      </c>
      <c r="V9" s="707" t="s">
        <v>572</v>
      </c>
      <c r="W9" s="707" t="s">
        <v>572</v>
      </c>
      <c r="X9" s="708" t="s">
        <v>582</v>
      </c>
      <c r="Y9" s="708" t="s">
        <v>582</v>
      </c>
      <c r="Z9" s="708" t="s">
        <v>582</v>
      </c>
      <c r="AA9" s="707" t="s">
        <v>572</v>
      </c>
      <c r="AB9" s="707" t="s">
        <v>572</v>
      </c>
      <c r="AC9" s="708" t="s">
        <v>582</v>
      </c>
      <c r="AD9" s="708" t="s">
        <v>582</v>
      </c>
      <c r="AE9" s="708" t="s">
        <v>582</v>
      </c>
      <c r="AF9" s="708" t="s">
        <v>582</v>
      </c>
      <c r="AG9" s="708" t="s">
        <v>582</v>
      </c>
      <c r="AH9" s="708" t="s">
        <v>582</v>
      </c>
    </row>
    <row r="10" spans="1:39">
      <c r="A10" s="300"/>
      <c r="B10" s="300"/>
      <c r="C10" s="300"/>
      <c r="D10" s="300"/>
      <c r="E10" s="300"/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  <c r="AA10" s="300"/>
      <c r="AB10" s="300"/>
      <c r="AC10" s="300"/>
      <c r="AD10" s="300"/>
      <c r="AE10" s="300"/>
      <c r="AF10" s="300"/>
      <c r="AG10" s="300"/>
      <c r="AH10" s="300"/>
      <c r="AI10" s="300"/>
    </row>
    <row r="11" spans="1:39">
      <c r="A11" s="300"/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300"/>
    </row>
    <row r="12" spans="1:39">
      <c r="A12" s="324" t="s">
        <v>583</v>
      </c>
      <c r="B12" s="324" t="s">
        <v>309</v>
      </c>
      <c r="C12" s="324"/>
      <c r="E12" s="300"/>
      <c r="F12" s="432"/>
      <c r="G12" s="432"/>
      <c r="H12" s="432"/>
      <c r="I12" s="432"/>
      <c r="J12" s="432"/>
      <c r="K12" s="432"/>
      <c r="L12" s="432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0"/>
      <c r="AF12" s="300"/>
      <c r="AG12" s="300"/>
      <c r="AH12" s="300"/>
      <c r="AI12" s="300"/>
    </row>
    <row r="13" spans="1:39">
      <c r="A13" s="320" t="s">
        <v>571</v>
      </c>
      <c r="B13" s="325" t="s">
        <v>584</v>
      </c>
      <c r="C13" s="320"/>
      <c r="E13" s="300"/>
      <c r="F13" s="733"/>
      <c r="G13" s="733"/>
      <c r="H13" s="733"/>
      <c r="I13" s="733"/>
      <c r="J13" s="733"/>
      <c r="K13" s="733"/>
      <c r="L13" s="733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300"/>
      <c r="AE13" s="300"/>
      <c r="AF13" s="300"/>
      <c r="AG13" s="300"/>
      <c r="AH13" s="300"/>
      <c r="AI13" s="300"/>
    </row>
    <row r="14" spans="1:39">
      <c r="A14" s="320" t="s">
        <v>573</v>
      </c>
      <c r="B14" s="322" t="s">
        <v>585</v>
      </c>
      <c r="C14" s="320"/>
      <c r="E14" s="300"/>
      <c r="F14" s="734"/>
      <c r="G14" s="735"/>
      <c r="H14" s="735"/>
      <c r="I14" s="734"/>
      <c r="J14" s="734"/>
      <c r="K14" s="734"/>
      <c r="L14" s="734"/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  <c r="AA14" s="300"/>
      <c r="AB14" s="300"/>
      <c r="AC14" s="300"/>
      <c r="AD14" s="300"/>
      <c r="AE14" s="300"/>
      <c r="AF14" s="300"/>
      <c r="AG14" s="300"/>
      <c r="AH14" s="300"/>
      <c r="AI14" s="300"/>
    </row>
    <row r="15" spans="1:39">
      <c r="A15" s="320" t="s">
        <v>575</v>
      </c>
      <c r="B15" s="323" t="s">
        <v>586</v>
      </c>
      <c r="C15" s="320"/>
      <c r="E15" s="300"/>
      <c r="F15" s="736"/>
      <c r="G15" s="736"/>
      <c r="H15" s="736"/>
      <c r="I15" s="736"/>
      <c r="J15" s="736"/>
      <c r="K15" s="735"/>
      <c r="L15" s="735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</row>
    <row r="16" spans="1:39">
      <c r="A16" s="320" t="s">
        <v>579</v>
      </c>
      <c r="B16" s="328" t="s">
        <v>587</v>
      </c>
      <c r="C16" s="32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</row>
    <row r="17" spans="1:35">
      <c r="A17" s="320" t="s">
        <v>588</v>
      </c>
      <c r="B17" s="326" t="s">
        <v>589</v>
      </c>
      <c r="C17" s="320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300"/>
      <c r="AE17" s="300"/>
      <c r="AF17" s="300"/>
      <c r="AG17" s="300"/>
      <c r="AH17" s="300"/>
      <c r="AI17" s="300"/>
    </row>
    <row r="18" spans="1:35">
      <c r="A18" s="320" t="s">
        <v>576</v>
      </c>
      <c r="B18" s="327" t="s">
        <v>590</v>
      </c>
      <c r="C18" s="320"/>
      <c r="E18" s="300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</row>
    <row r="19" spans="1:35">
      <c r="A19" s="320" t="s">
        <v>582</v>
      </c>
      <c r="B19" s="320" t="s">
        <v>591</v>
      </c>
      <c r="C19" s="32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</row>
    <row r="20" spans="1:35">
      <c r="A20" s="303" t="s">
        <v>582</v>
      </c>
      <c r="B20" s="302" t="s">
        <v>591</v>
      </c>
      <c r="C20" s="302" t="s">
        <v>604</v>
      </c>
      <c r="F20" s="300"/>
      <c r="G20" s="300"/>
      <c r="H20" s="300"/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</row>
    <row r="21" spans="1:35">
      <c r="A21" s="303" t="s">
        <v>605</v>
      </c>
      <c r="B21" s="304" t="s">
        <v>206</v>
      </c>
      <c r="C21" s="302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</row>
    <row r="22" spans="1:35">
      <c r="A22" s="303" t="s">
        <v>606</v>
      </c>
      <c r="B22" s="305" t="s">
        <v>206</v>
      </c>
      <c r="C22" s="302"/>
      <c r="E22" s="337"/>
      <c r="F22" s="300"/>
      <c r="G22" s="300"/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</row>
    <row r="23" spans="1:35">
      <c r="A23" s="303" t="s">
        <v>607</v>
      </c>
      <c r="B23" s="306" t="s">
        <v>206</v>
      </c>
      <c r="C23" s="302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  <c r="AH23" s="300"/>
      <c r="AI23" s="300"/>
    </row>
    <row r="24" spans="1:35">
      <c r="A24" s="303" t="s">
        <v>608</v>
      </c>
      <c r="B24" s="299" t="s">
        <v>206</v>
      </c>
      <c r="C24" s="302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  <c r="AH24" s="300"/>
      <c r="AI24" s="300"/>
    </row>
    <row r="25" spans="1:35">
      <c r="A25" s="303" t="s">
        <v>609</v>
      </c>
      <c r="B25" s="301" t="s">
        <v>206</v>
      </c>
      <c r="C25" s="302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300"/>
      <c r="AE25" s="300"/>
      <c r="AF25" s="300"/>
      <c r="AG25" s="300"/>
      <c r="AH25" s="300"/>
    </row>
    <row r="26" spans="1:35">
      <c r="A26" s="307" t="s">
        <v>610</v>
      </c>
      <c r="B26" s="308" t="s">
        <v>206</v>
      </c>
      <c r="C26" s="30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</row>
    <row r="29" spans="1:35" ht="15" customHeight="1">
      <c r="D29" s="720"/>
      <c r="E29" s="721"/>
      <c r="F29" s="722"/>
      <c r="G29" s="722"/>
      <c r="H29" s="723"/>
      <c r="I29" s="723"/>
      <c r="J29" s="723"/>
      <c r="K29" s="723"/>
      <c r="L29" s="723"/>
      <c r="M29" s="722"/>
      <c r="N29" s="722"/>
      <c r="O29" s="723"/>
      <c r="P29" s="723"/>
      <c r="Q29" s="723"/>
      <c r="R29" s="723"/>
      <c r="S29" s="723"/>
      <c r="T29" s="723"/>
      <c r="U29" s="723"/>
      <c r="V29" s="722"/>
      <c r="W29" s="722"/>
      <c r="X29" s="723"/>
      <c r="Y29" s="723"/>
      <c r="Z29" s="723"/>
      <c r="AA29" s="722"/>
      <c r="AB29" s="722"/>
      <c r="AC29" s="722"/>
      <c r="AD29" s="723"/>
      <c r="AE29" s="723"/>
      <c r="AF29" s="723"/>
      <c r="AG29" s="723"/>
      <c r="AH29" s="723"/>
    </row>
    <row r="30" spans="1:35" ht="15" customHeight="1">
      <c r="D30" s="720"/>
      <c r="E30" s="724"/>
      <c r="F30" s="725"/>
      <c r="G30" s="725"/>
      <c r="H30" s="725"/>
      <c r="I30" s="725"/>
      <c r="J30" s="722"/>
      <c r="K30" s="722"/>
      <c r="L30" s="725"/>
      <c r="M30" s="725"/>
      <c r="N30" s="725"/>
      <c r="O30" s="725"/>
      <c r="P30" s="725"/>
      <c r="Q30" s="722"/>
      <c r="R30" s="722"/>
      <c r="S30" s="725"/>
      <c r="T30" s="725"/>
      <c r="U30" s="725"/>
      <c r="V30" s="725"/>
      <c r="W30" s="725"/>
      <c r="X30" s="722"/>
      <c r="Y30" s="722"/>
      <c r="Z30" s="725"/>
      <c r="AA30" s="725"/>
      <c r="AB30" s="725"/>
      <c r="AC30" s="725"/>
      <c r="AD30" s="725"/>
      <c r="AE30" s="722"/>
      <c r="AF30" s="722"/>
      <c r="AG30" s="725"/>
      <c r="AH30" s="725"/>
    </row>
    <row r="31" spans="1:35" ht="15" customHeight="1">
      <c r="D31" s="726"/>
      <c r="E31" s="727"/>
      <c r="F31" s="728"/>
      <c r="G31" s="728"/>
      <c r="H31" s="728"/>
      <c r="I31" s="728"/>
      <c r="J31" s="729"/>
      <c r="K31" s="729"/>
      <c r="L31" s="728"/>
      <c r="M31" s="728"/>
      <c r="N31" s="728"/>
      <c r="O31" s="728"/>
      <c r="P31" s="728"/>
      <c r="Q31" s="729"/>
      <c r="R31" s="729"/>
      <c r="S31" s="728"/>
      <c r="T31" s="728"/>
      <c r="U31" s="728"/>
      <c r="V31" s="728"/>
      <c r="W31" s="728"/>
      <c r="X31" s="729"/>
      <c r="Y31" s="729"/>
      <c r="Z31" s="728"/>
      <c r="AA31" s="730"/>
      <c r="AB31" s="730"/>
      <c r="AC31" s="728"/>
      <c r="AD31" s="728"/>
      <c r="AE31" s="728"/>
      <c r="AF31" s="728"/>
      <c r="AG31" s="728"/>
      <c r="AH31" s="728"/>
    </row>
    <row r="32" spans="1:35" ht="15" customHeight="1">
      <c r="D32" s="720"/>
      <c r="E32" s="731"/>
      <c r="F32" s="732"/>
      <c r="G32" s="732"/>
      <c r="H32" s="732"/>
      <c r="I32" s="732"/>
      <c r="J32" s="722"/>
      <c r="K32" s="722"/>
      <c r="L32" s="732"/>
      <c r="M32" s="732"/>
      <c r="N32" s="732"/>
      <c r="O32" s="732"/>
      <c r="P32" s="732"/>
      <c r="Q32" s="722"/>
      <c r="R32" s="722"/>
      <c r="S32" s="732"/>
      <c r="T32" s="732"/>
      <c r="U32" s="732"/>
      <c r="V32" s="732"/>
      <c r="W32" s="732"/>
      <c r="X32" s="722"/>
      <c r="Y32" s="722"/>
      <c r="Z32" s="732"/>
      <c r="AA32" s="732"/>
      <c r="AB32" s="732"/>
      <c r="AC32" s="732"/>
      <c r="AD32" s="732"/>
      <c r="AE32" s="722"/>
      <c r="AF32" s="722"/>
      <c r="AG32" s="732"/>
      <c r="AH32" s="732"/>
    </row>
    <row r="33" spans="4:34" ht="15" customHeight="1">
      <c r="D33" s="720"/>
      <c r="E33" s="721"/>
      <c r="F33" s="722"/>
      <c r="G33" s="722"/>
      <c r="H33" s="723"/>
      <c r="I33" s="723"/>
      <c r="J33" s="723"/>
      <c r="K33" s="723"/>
      <c r="L33" s="723"/>
      <c r="M33" s="722"/>
      <c r="N33" s="722"/>
      <c r="O33" s="723"/>
      <c r="P33" s="723"/>
      <c r="Q33" s="723"/>
      <c r="R33" s="723"/>
      <c r="S33" s="723"/>
      <c r="T33" s="722"/>
      <c r="U33" s="722"/>
      <c r="V33" s="723"/>
      <c r="W33" s="723"/>
      <c r="X33" s="723"/>
      <c r="Y33" s="723"/>
      <c r="Z33" s="723"/>
      <c r="AA33" s="723"/>
      <c r="AB33" s="723"/>
      <c r="AC33" s="722"/>
      <c r="AD33" s="722"/>
      <c r="AE33" s="723"/>
      <c r="AF33" s="723"/>
      <c r="AG33" s="723"/>
      <c r="AH33" s="723"/>
    </row>
    <row r="34" spans="4:34" ht="15" customHeight="1">
      <c r="D34" s="720"/>
      <c r="E34" s="731"/>
      <c r="F34" s="732"/>
      <c r="G34" s="732"/>
      <c r="H34" s="722"/>
      <c r="I34" s="722"/>
      <c r="J34" s="732"/>
      <c r="K34" s="732"/>
      <c r="L34" s="732"/>
      <c r="M34" s="732"/>
      <c r="N34" s="732"/>
      <c r="O34" s="722"/>
      <c r="P34" s="722"/>
      <c r="Q34" s="732"/>
      <c r="R34" s="732"/>
      <c r="S34" s="732"/>
      <c r="T34" s="732"/>
      <c r="U34" s="732"/>
      <c r="V34" s="722"/>
      <c r="W34" s="722"/>
      <c r="X34" s="732"/>
      <c r="Y34" s="732"/>
      <c r="Z34" s="732"/>
      <c r="AA34" s="722"/>
      <c r="AB34" s="722"/>
      <c r="AC34" s="732"/>
      <c r="AD34" s="732"/>
      <c r="AE34" s="732"/>
      <c r="AF34" s="732"/>
      <c r="AG34" s="732"/>
      <c r="AH34" s="732"/>
    </row>
    <row r="35" spans="4:34" ht="15" customHeight="1">
      <c r="D35" s="720"/>
      <c r="E35" s="731"/>
      <c r="F35" s="722"/>
      <c r="G35" s="722"/>
      <c r="H35" s="732"/>
      <c r="I35" s="732"/>
      <c r="J35" s="732"/>
      <c r="K35" s="732"/>
      <c r="L35" s="732"/>
      <c r="M35" s="722"/>
      <c r="N35" s="722"/>
      <c r="O35" s="732"/>
      <c r="P35" s="732"/>
      <c r="Q35" s="732"/>
      <c r="R35" s="732"/>
      <c r="S35" s="722"/>
      <c r="T35" s="722"/>
      <c r="U35" s="732"/>
      <c r="V35" s="732"/>
      <c r="W35" s="732"/>
      <c r="X35" s="732"/>
      <c r="Y35" s="732"/>
      <c r="Z35" s="732"/>
      <c r="AA35" s="732"/>
      <c r="AB35" s="732"/>
      <c r="AC35" s="732"/>
      <c r="AD35" s="732"/>
      <c r="AE35" s="722"/>
      <c r="AF35" s="722"/>
      <c r="AG35" s="732"/>
      <c r="AH35" s="732"/>
    </row>
  </sheetData>
  <hyperlinks>
    <hyperlink ref="B5" r:id="rId1" xr:uid="{6286884E-4166-409F-9827-CA9CC96310B3}"/>
    <hyperlink ref="B6" r:id="rId2" xr:uid="{3814DDA9-18E3-4408-B752-DB190FAFF1F3}"/>
    <hyperlink ref="B9" r:id="rId3" xr:uid="{517C3828-9C5A-41BA-B45F-5E603A090253}"/>
    <hyperlink ref="B8" r:id="rId4" xr:uid="{6A2E59B7-A656-4D14-B50F-CD3FC46FD57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4E35-33D1-4AF6-9588-5FB65673AC03}">
  <sheetPr filterMode="1">
    <tabColor rgb="FF00B0F0"/>
  </sheetPr>
  <dimension ref="A1:P35"/>
  <sheetViews>
    <sheetView zoomScale="75" zoomScaleNormal="40" workbookViewId="0">
      <selection activeCell="B42" sqref="B42"/>
    </sheetView>
  </sheetViews>
  <sheetFormatPr defaultRowHeight="14.45"/>
  <cols>
    <col min="1" max="1" width="12.7109375" bestFit="1" customWidth="1"/>
    <col min="2" max="2" width="43.42578125" bestFit="1" customWidth="1"/>
    <col min="3" max="3" width="71.85546875" bestFit="1" customWidth="1"/>
    <col min="4" max="4" width="40.85546875" bestFit="1" customWidth="1"/>
    <col min="5" max="5" width="51.5703125" bestFit="1" customWidth="1"/>
    <col min="6" max="6" width="11.28515625" bestFit="1" customWidth="1"/>
    <col min="7" max="16" width="51.5703125" bestFit="1" customWidth="1"/>
  </cols>
  <sheetData>
    <row r="1" spans="1:16" ht="36.75" customHeight="1">
      <c r="A1" s="1" t="s">
        <v>0</v>
      </c>
      <c r="B1" s="2" t="s">
        <v>1</v>
      </c>
      <c r="C1" s="80" t="s">
        <v>3</v>
      </c>
      <c r="D1" s="2" t="s">
        <v>4</v>
      </c>
      <c r="E1" s="2" t="s">
        <v>5</v>
      </c>
      <c r="F1" s="54" t="s">
        <v>6</v>
      </c>
      <c r="G1" s="117">
        <v>46172</v>
      </c>
      <c r="H1" s="118">
        <v>46173</v>
      </c>
      <c r="I1" s="117">
        <v>46179</v>
      </c>
      <c r="J1" s="118">
        <v>46180</v>
      </c>
      <c r="K1" s="117">
        <v>46186</v>
      </c>
      <c r="L1" s="118">
        <v>46187</v>
      </c>
      <c r="M1" s="117">
        <v>46193</v>
      </c>
      <c r="N1" s="118">
        <v>46194</v>
      </c>
      <c r="O1" s="117">
        <v>46200</v>
      </c>
      <c r="P1" s="118">
        <v>46201</v>
      </c>
    </row>
    <row r="2" spans="1:16" s="50" customFormat="1" ht="17.45" customHeight="1">
      <c r="A2" s="278">
        <v>535</v>
      </c>
      <c r="B2" s="278" t="s">
        <v>8</v>
      </c>
      <c r="C2" s="279" t="s">
        <v>10</v>
      </c>
      <c r="D2" s="280" t="s">
        <v>11</v>
      </c>
      <c r="E2" s="278" t="s">
        <v>11</v>
      </c>
      <c r="F2" s="281" t="s">
        <v>12</v>
      </c>
      <c r="G2" s="290" t="s">
        <v>11</v>
      </c>
      <c r="H2" s="290" t="s">
        <v>11</v>
      </c>
      <c r="I2" s="291" t="s">
        <v>11</v>
      </c>
      <c r="J2" s="290" t="s">
        <v>11</v>
      </c>
      <c r="K2" s="290" t="s">
        <v>11</v>
      </c>
      <c r="L2" s="290" t="s">
        <v>11</v>
      </c>
      <c r="M2" s="291" t="s">
        <v>11</v>
      </c>
      <c r="N2" s="290" t="s">
        <v>11</v>
      </c>
      <c r="O2" s="290" t="s">
        <v>11</v>
      </c>
      <c r="P2" s="290" t="s">
        <v>11</v>
      </c>
    </row>
    <row r="3" spans="1:16">
      <c r="A3" s="4">
        <v>124</v>
      </c>
      <c r="B3" s="4" t="s">
        <v>14</v>
      </c>
      <c r="C3" s="496" t="s">
        <v>16</v>
      </c>
      <c r="D3" s="282" t="s">
        <v>17</v>
      </c>
      <c r="E3" s="4" t="s">
        <v>18</v>
      </c>
      <c r="F3" s="78" t="s">
        <v>19</v>
      </c>
      <c r="G3" s="290" t="s">
        <v>18</v>
      </c>
      <c r="H3" s="290" t="s">
        <v>18</v>
      </c>
      <c r="I3" s="291" t="s">
        <v>18</v>
      </c>
      <c r="J3" s="291" t="s">
        <v>18</v>
      </c>
      <c r="K3" s="290" t="s">
        <v>18</v>
      </c>
      <c r="L3" s="290" t="s">
        <v>18</v>
      </c>
      <c r="M3" s="291" t="s">
        <v>18</v>
      </c>
      <c r="N3" s="291" t="s">
        <v>18</v>
      </c>
      <c r="O3" s="290" t="s">
        <v>18</v>
      </c>
      <c r="P3" s="290" t="s">
        <v>18</v>
      </c>
    </row>
    <row r="4" spans="1:16">
      <c r="A4" s="4">
        <v>127</v>
      </c>
      <c r="B4" s="4" t="s">
        <v>20</v>
      </c>
      <c r="C4" s="507" t="s">
        <v>21</v>
      </c>
      <c r="D4" s="282" t="s">
        <v>17</v>
      </c>
      <c r="E4" s="4" t="s">
        <v>17</v>
      </c>
      <c r="F4" s="78" t="s">
        <v>12</v>
      </c>
      <c r="G4" s="290" t="s">
        <v>17</v>
      </c>
      <c r="H4" s="290" t="s">
        <v>17</v>
      </c>
      <c r="I4" s="291" t="s">
        <v>17</v>
      </c>
      <c r="J4" s="290" t="s">
        <v>17</v>
      </c>
      <c r="K4" s="290" t="s">
        <v>17</v>
      </c>
      <c r="L4" s="290" t="s">
        <v>17</v>
      </c>
      <c r="M4" s="291" t="s">
        <v>17</v>
      </c>
      <c r="N4" s="290" t="s">
        <v>17</v>
      </c>
      <c r="O4" s="290" t="s">
        <v>17</v>
      </c>
      <c r="P4" s="290" t="s">
        <v>17</v>
      </c>
    </row>
    <row r="5" spans="1:16">
      <c r="A5" s="4">
        <v>128</v>
      </c>
      <c r="B5" s="4" t="s">
        <v>22</v>
      </c>
      <c r="C5" s="76" t="s">
        <v>21</v>
      </c>
      <c r="D5" s="282" t="s">
        <v>17</v>
      </c>
      <c r="E5" s="4" t="s">
        <v>23</v>
      </c>
      <c r="F5" s="78" t="s">
        <v>12</v>
      </c>
      <c r="G5" s="290" t="s">
        <v>17</v>
      </c>
      <c r="H5" s="290" t="s">
        <v>17</v>
      </c>
      <c r="I5" s="291" t="s">
        <v>17</v>
      </c>
      <c r="J5" s="290" t="s">
        <v>17</v>
      </c>
      <c r="K5" s="290" t="s">
        <v>17</v>
      </c>
      <c r="L5" s="290" t="s">
        <v>17</v>
      </c>
      <c r="M5" s="291" t="s">
        <v>17</v>
      </c>
      <c r="N5" s="290" t="s">
        <v>17</v>
      </c>
      <c r="O5" s="290" t="s">
        <v>17</v>
      </c>
      <c r="P5" s="290" t="s">
        <v>17</v>
      </c>
    </row>
    <row r="6" spans="1:16">
      <c r="A6" s="4">
        <v>129</v>
      </c>
      <c r="B6" s="4" t="s">
        <v>24</v>
      </c>
      <c r="C6" s="457" t="s">
        <v>25</v>
      </c>
      <c r="D6" s="282" t="s">
        <v>17</v>
      </c>
      <c r="E6" s="4" t="s">
        <v>17</v>
      </c>
      <c r="F6" s="78" t="s">
        <v>12</v>
      </c>
      <c r="G6" s="290" t="s">
        <v>17</v>
      </c>
      <c r="H6" s="290" t="s">
        <v>17</v>
      </c>
      <c r="I6" s="291" t="s">
        <v>17</v>
      </c>
      <c r="J6" s="290" t="s">
        <v>17</v>
      </c>
      <c r="K6" s="290" t="s">
        <v>17</v>
      </c>
      <c r="L6" s="290" t="s">
        <v>17</v>
      </c>
      <c r="M6" s="291" t="s">
        <v>17</v>
      </c>
      <c r="N6" s="290" t="s">
        <v>17</v>
      </c>
      <c r="O6" s="290" t="s">
        <v>17</v>
      </c>
      <c r="P6" s="290" t="s">
        <v>17</v>
      </c>
    </row>
    <row r="7" spans="1:16">
      <c r="A7" s="4">
        <v>518</v>
      </c>
      <c r="B7" s="4" t="s">
        <v>26</v>
      </c>
      <c r="C7" s="496" t="s">
        <v>21</v>
      </c>
      <c r="D7" s="282" t="s">
        <v>17</v>
      </c>
      <c r="E7" s="4" t="s">
        <v>17</v>
      </c>
      <c r="F7" s="78" t="s">
        <v>27</v>
      </c>
      <c r="G7" s="290" t="s">
        <v>17</v>
      </c>
      <c r="H7" s="290" t="s">
        <v>17</v>
      </c>
      <c r="I7" s="291" t="s">
        <v>17</v>
      </c>
      <c r="J7" s="290" t="s">
        <v>17</v>
      </c>
      <c r="K7" s="290" t="s">
        <v>17</v>
      </c>
      <c r="L7" s="290" t="s">
        <v>17</v>
      </c>
      <c r="M7" s="291" t="s">
        <v>17</v>
      </c>
      <c r="N7" s="290" t="s">
        <v>17</v>
      </c>
      <c r="O7" s="290" t="s">
        <v>17</v>
      </c>
      <c r="P7" s="290" t="s">
        <v>17</v>
      </c>
    </row>
    <row r="8" spans="1:16" ht="14.1" customHeight="1">
      <c r="A8" s="4">
        <v>140</v>
      </c>
      <c r="B8" s="4" t="s">
        <v>28</v>
      </c>
      <c r="C8" s="119" t="s">
        <v>29</v>
      </c>
      <c r="D8" s="282" t="s">
        <v>30</v>
      </c>
      <c r="E8" s="4" t="s">
        <v>611</v>
      </c>
      <c r="F8" s="78" t="s">
        <v>32</v>
      </c>
      <c r="G8" s="290" t="s">
        <v>612</v>
      </c>
      <c r="H8" s="290" t="s">
        <v>612</v>
      </c>
      <c r="I8" s="291" t="s">
        <v>612</v>
      </c>
      <c r="J8" s="290" t="s">
        <v>612</v>
      </c>
      <c r="K8" s="290" t="s">
        <v>612</v>
      </c>
      <c r="L8" s="290" t="s">
        <v>612</v>
      </c>
      <c r="M8" s="291" t="s">
        <v>612</v>
      </c>
      <c r="N8" s="290" t="s">
        <v>612</v>
      </c>
      <c r="O8" s="290" t="s">
        <v>612</v>
      </c>
      <c r="P8" s="290" t="s">
        <v>612</v>
      </c>
    </row>
    <row r="9" spans="1:16">
      <c r="A9" s="4">
        <v>142</v>
      </c>
      <c r="B9" s="4" t="s">
        <v>33</v>
      </c>
      <c r="C9" s="76" t="s">
        <v>34</v>
      </c>
      <c r="D9" s="282" t="s">
        <v>30</v>
      </c>
      <c r="E9" s="5" t="s">
        <v>35</v>
      </c>
      <c r="F9" s="78" t="s">
        <v>12</v>
      </c>
      <c r="G9" s="292" t="s">
        <v>35</v>
      </c>
      <c r="H9" s="292" t="s">
        <v>35</v>
      </c>
      <c r="I9" s="293" t="s">
        <v>35</v>
      </c>
      <c r="J9" s="292" t="s">
        <v>35</v>
      </c>
      <c r="K9" s="292" t="s">
        <v>35</v>
      </c>
      <c r="L9" s="292" t="s">
        <v>35</v>
      </c>
      <c r="M9" s="293" t="s">
        <v>35</v>
      </c>
      <c r="N9" s="292" t="s">
        <v>35</v>
      </c>
      <c r="O9" s="292" t="s">
        <v>35</v>
      </c>
      <c r="P9" s="292" t="s">
        <v>35</v>
      </c>
    </row>
    <row r="10" spans="1:16">
      <c r="A10" s="4">
        <v>111</v>
      </c>
      <c r="B10" s="4" t="s">
        <v>36</v>
      </c>
      <c r="C10" s="283" t="s">
        <v>37</v>
      </c>
      <c r="D10" s="282" t="s">
        <v>38</v>
      </c>
      <c r="E10" s="5" t="s">
        <v>39</v>
      </c>
      <c r="F10" s="78" t="s">
        <v>19</v>
      </c>
      <c r="G10" s="294" t="s">
        <v>38</v>
      </c>
      <c r="H10" s="294" t="s">
        <v>38</v>
      </c>
      <c r="I10" s="293" t="s">
        <v>39</v>
      </c>
      <c r="J10" s="292" t="s">
        <v>39</v>
      </c>
      <c r="K10" s="294" t="s">
        <v>38</v>
      </c>
      <c r="L10" s="294" t="s">
        <v>38</v>
      </c>
      <c r="M10" s="293" t="s">
        <v>39</v>
      </c>
      <c r="N10" s="292" t="s">
        <v>39</v>
      </c>
      <c r="O10" s="294" t="s">
        <v>38</v>
      </c>
      <c r="P10" s="294" t="s">
        <v>38</v>
      </c>
    </row>
    <row r="11" spans="1:16">
      <c r="A11" s="4">
        <v>120</v>
      </c>
      <c r="B11" s="4" t="s">
        <v>40</v>
      </c>
      <c r="C11" s="494" t="s">
        <v>41</v>
      </c>
      <c r="D11" s="282" t="s">
        <v>613</v>
      </c>
      <c r="E11" s="636" t="s">
        <v>614</v>
      </c>
      <c r="F11" s="78" t="s">
        <v>12</v>
      </c>
      <c r="G11" s="636" t="s">
        <v>614</v>
      </c>
      <c r="H11" s="636" t="s">
        <v>614</v>
      </c>
      <c r="I11" s="636" t="s">
        <v>614</v>
      </c>
      <c r="J11" s="636" t="s">
        <v>614</v>
      </c>
      <c r="K11" s="636" t="s">
        <v>614</v>
      </c>
      <c r="L11" s="636" t="s">
        <v>614</v>
      </c>
      <c r="M11" s="636" t="s">
        <v>614</v>
      </c>
      <c r="N11" s="636" t="s">
        <v>614</v>
      </c>
      <c r="O11" s="636" t="s">
        <v>614</v>
      </c>
      <c r="P11" s="636" t="s">
        <v>614</v>
      </c>
    </row>
    <row r="12" spans="1:16">
      <c r="A12" s="4">
        <v>121</v>
      </c>
      <c r="B12" s="4" t="s">
        <v>44</v>
      </c>
      <c r="C12" s="457" t="s">
        <v>41</v>
      </c>
      <c r="D12" s="282" t="s">
        <v>613</v>
      </c>
      <c r="E12" s="5" t="s">
        <v>615</v>
      </c>
      <c r="F12" s="78" t="s">
        <v>12</v>
      </c>
      <c r="G12" s="636" t="s">
        <v>614</v>
      </c>
      <c r="H12" s="636" t="s">
        <v>614</v>
      </c>
      <c r="I12" s="636" t="s">
        <v>614</v>
      </c>
      <c r="J12" s="636" t="s">
        <v>614</v>
      </c>
      <c r="K12" s="636" t="s">
        <v>614</v>
      </c>
      <c r="L12" s="636" t="s">
        <v>614</v>
      </c>
      <c r="M12" s="636" t="s">
        <v>614</v>
      </c>
      <c r="N12" s="636" t="s">
        <v>614</v>
      </c>
      <c r="O12" s="636" t="s">
        <v>614</v>
      </c>
      <c r="P12" s="636" t="s">
        <v>614</v>
      </c>
    </row>
    <row r="13" spans="1:16">
      <c r="A13" s="4">
        <v>122</v>
      </c>
      <c r="B13" s="4" t="s">
        <v>45</v>
      </c>
      <c r="C13" s="496" t="s">
        <v>46</v>
      </c>
      <c r="D13" s="282" t="s">
        <v>613</v>
      </c>
      <c r="E13" s="5" t="s">
        <v>615</v>
      </c>
      <c r="F13" s="78" t="s">
        <v>19</v>
      </c>
      <c r="G13" s="636" t="s">
        <v>614</v>
      </c>
      <c r="H13" s="636" t="s">
        <v>614</v>
      </c>
      <c r="I13" s="636" t="s">
        <v>614</v>
      </c>
      <c r="J13" s="636" t="s">
        <v>614</v>
      </c>
      <c r="K13" s="636" t="s">
        <v>614</v>
      </c>
      <c r="L13" s="636" t="s">
        <v>614</v>
      </c>
      <c r="M13" s="636" t="s">
        <v>614</v>
      </c>
      <c r="N13" s="636" t="s">
        <v>614</v>
      </c>
      <c r="O13" s="636" t="s">
        <v>614</v>
      </c>
      <c r="P13" s="636" t="s">
        <v>614</v>
      </c>
    </row>
    <row r="14" spans="1:16">
      <c r="A14" s="4">
        <v>106</v>
      </c>
      <c r="B14" s="4" t="s">
        <v>47</v>
      </c>
      <c r="C14" s="119" t="s">
        <v>49</v>
      </c>
      <c r="D14" s="282" t="s">
        <v>50</v>
      </c>
      <c r="E14" s="4" t="s">
        <v>51</v>
      </c>
      <c r="F14" s="78" t="s">
        <v>19</v>
      </c>
      <c r="G14" s="290" t="s">
        <v>51</v>
      </c>
      <c r="H14" s="290" t="s">
        <v>51</v>
      </c>
      <c r="I14" s="291" t="s">
        <v>51</v>
      </c>
      <c r="J14" s="290" t="s">
        <v>51</v>
      </c>
      <c r="K14" s="290" t="s">
        <v>51</v>
      </c>
      <c r="L14" s="290" t="s">
        <v>51</v>
      </c>
      <c r="M14" s="291" t="s">
        <v>51</v>
      </c>
      <c r="N14" s="290" t="s">
        <v>51</v>
      </c>
      <c r="O14" s="290" t="s">
        <v>51</v>
      </c>
      <c r="P14" s="290" t="s">
        <v>51</v>
      </c>
    </row>
    <row r="15" spans="1:16">
      <c r="A15" s="4">
        <v>152</v>
      </c>
      <c r="B15" s="4" t="s">
        <v>52</v>
      </c>
      <c r="C15" s="76" t="s">
        <v>54</v>
      </c>
      <c r="D15" s="282" t="s">
        <v>51</v>
      </c>
      <c r="E15" s="4" t="s">
        <v>51</v>
      </c>
      <c r="F15" s="78" t="s">
        <v>12</v>
      </c>
      <c r="G15" s="290" t="s">
        <v>51</v>
      </c>
      <c r="H15" s="290" t="s">
        <v>51</v>
      </c>
      <c r="I15" s="291" t="s">
        <v>51</v>
      </c>
      <c r="J15" s="290" t="s">
        <v>51</v>
      </c>
      <c r="K15" s="290" t="s">
        <v>51</v>
      </c>
      <c r="L15" s="290" t="s">
        <v>51</v>
      </c>
      <c r="M15" s="291" t="s">
        <v>51</v>
      </c>
      <c r="N15" s="290" t="s">
        <v>51</v>
      </c>
      <c r="O15" s="290" t="s">
        <v>51</v>
      </c>
      <c r="P15" s="290" t="s">
        <v>51</v>
      </c>
    </row>
    <row r="16" spans="1:16">
      <c r="A16" s="4">
        <v>538</v>
      </c>
      <c r="B16" s="4" t="s">
        <v>55</v>
      </c>
      <c r="C16" s="76" t="s">
        <v>57</v>
      </c>
      <c r="D16" s="282" t="s">
        <v>50</v>
      </c>
      <c r="E16" s="4" t="s">
        <v>51</v>
      </c>
      <c r="F16" s="78" t="s">
        <v>19</v>
      </c>
      <c r="G16" s="295" t="s">
        <v>51</v>
      </c>
      <c r="H16" s="295" t="s">
        <v>51</v>
      </c>
      <c r="I16" s="291" t="s">
        <v>51</v>
      </c>
      <c r="J16" s="290" t="s">
        <v>51</v>
      </c>
      <c r="K16" s="295" t="s">
        <v>51</v>
      </c>
      <c r="L16" s="295" t="s">
        <v>51</v>
      </c>
      <c r="M16" s="291" t="s">
        <v>51</v>
      </c>
      <c r="N16" s="290" t="s">
        <v>51</v>
      </c>
      <c r="O16" s="295" t="s">
        <v>51</v>
      </c>
      <c r="P16" s="295" t="s">
        <v>51</v>
      </c>
    </row>
    <row r="17" spans="1:16">
      <c r="A17" s="4">
        <v>108</v>
      </c>
      <c r="B17" s="4" t="s">
        <v>58</v>
      </c>
      <c r="C17" s="283" t="s">
        <v>59</v>
      </c>
      <c r="D17" s="520" t="s">
        <v>616</v>
      </c>
      <c r="E17" s="4" t="s">
        <v>61</v>
      </c>
      <c r="F17" s="78" t="s">
        <v>19</v>
      </c>
      <c r="G17" s="521" t="s">
        <v>152</v>
      </c>
      <c r="H17" s="521" t="s">
        <v>152</v>
      </c>
      <c r="I17" s="521" t="s">
        <v>152</v>
      </c>
      <c r="J17" s="521" t="s">
        <v>152</v>
      </c>
      <c r="K17" s="521" t="s">
        <v>152</v>
      </c>
      <c r="L17" s="521" t="s">
        <v>152</v>
      </c>
      <c r="M17" s="291" t="s">
        <v>617</v>
      </c>
      <c r="N17" s="290" t="s">
        <v>617</v>
      </c>
      <c r="O17" s="521" t="s">
        <v>152</v>
      </c>
      <c r="P17" s="521" t="s">
        <v>152</v>
      </c>
    </row>
    <row r="18" spans="1:16">
      <c r="A18" s="4">
        <v>109</v>
      </c>
      <c r="B18" s="4" t="s">
        <v>63</v>
      </c>
      <c r="C18" s="283" t="s">
        <v>65</v>
      </c>
      <c r="D18" s="520" t="s">
        <v>616</v>
      </c>
      <c r="E18" s="4" t="s">
        <v>66</v>
      </c>
      <c r="F18" s="78" t="s">
        <v>19</v>
      </c>
      <c r="G18" s="522" t="s">
        <v>160</v>
      </c>
      <c r="H18" s="522" t="s">
        <v>160</v>
      </c>
      <c r="I18" s="296" t="s">
        <v>72</v>
      </c>
      <c r="J18" s="523" t="s">
        <v>616</v>
      </c>
      <c r="K18" s="522" t="s">
        <v>160</v>
      </c>
      <c r="L18" s="522" t="s">
        <v>160</v>
      </c>
      <c r="M18" s="524" t="s">
        <v>163</v>
      </c>
      <c r="N18" s="524" t="s">
        <v>163</v>
      </c>
      <c r="O18" s="522" t="s">
        <v>160</v>
      </c>
      <c r="P18" s="522" t="s">
        <v>160</v>
      </c>
    </row>
    <row r="19" spans="1:16" ht="14.1" customHeight="1">
      <c r="A19" s="4">
        <v>112</v>
      </c>
      <c r="B19" s="4" t="s">
        <v>67</v>
      </c>
      <c r="C19" s="283" t="s">
        <v>69</v>
      </c>
      <c r="D19" s="520" t="s">
        <v>616</v>
      </c>
      <c r="E19" s="4" t="s">
        <v>60</v>
      </c>
      <c r="F19" s="78" t="s">
        <v>19</v>
      </c>
      <c r="G19" s="525" t="s">
        <v>618</v>
      </c>
      <c r="H19" s="522" t="s">
        <v>618</v>
      </c>
      <c r="I19" s="296" t="s">
        <v>72</v>
      </c>
      <c r="J19" s="523" t="s">
        <v>616</v>
      </c>
      <c r="K19" s="525" t="s">
        <v>618</v>
      </c>
      <c r="L19" s="522" t="s">
        <v>618</v>
      </c>
      <c r="M19" s="524" t="s">
        <v>619</v>
      </c>
      <c r="N19" s="524" t="s">
        <v>619</v>
      </c>
      <c r="O19" s="525" t="s">
        <v>618</v>
      </c>
      <c r="P19" s="522" t="s">
        <v>618</v>
      </c>
    </row>
    <row r="20" spans="1:16" ht="16.5" customHeight="1">
      <c r="A20" s="4">
        <v>113</v>
      </c>
      <c r="B20" s="4" t="s">
        <v>70</v>
      </c>
      <c r="C20" s="283" t="s">
        <v>69</v>
      </c>
      <c r="D20" s="520" t="s">
        <v>616</v>
      </c>
      <c r="E20" s="5" t="s">
        <v>72</v>
      </c>
      <c r="F20" s="78" t="s">
        <v>19</v>
      </c>
      <c r="G20" s="522" t="s">
        <v>198</v>
      </c>
      <c r="H20" s="522" t="s">
        <v>198</v>
      </c>
      <c r="I20" s="296" t="s">
        <v>72</v>
      </c>
      <c r="J20" s="523" t="s">
        <v>616</v>
      </c>
      <c r="K20" s="522" t="s">
        <v>198</v>
      </c>
      <c r="L20" s="522" t="s">
        <v>198</v>
      </c>
      <c r="M20" s="524" t="s">
        <v>619</v>
      </c>
      <c r="N20" s="524" t="s">
        <v>619</v>
      </c>
      <c r="O20" s="522" t="s">
        <v>198</v>
      </c>
      <c r="P20" s="522" t="s">
        <v>198</v>
      </c>
    </row>
    <row r="21" spans="1:16" s="50" customFormat="1">
      <c r="A21" s="278" t="s">
        <v>75</v>
      </c>
      <c r="B21" s="278" t="s">
        <v>73</v>
      </c>
      <c r="C21" s="526" t="s">
        <v>69</v>
      </c>
      <c r="D21" s="527" t="s">
        <v>616</v>
      </c>
      <c r="E21" s="278" t="s">
        <v>74</v>
      </c>
      <c r="F21" s="281" t="s">
        <v>19</v>
      </c>
      <c r="G21" s="523" t="s">
        <v>616</v>
      </c>
      <c r="H21" s="523" t="s">
        <v>616</v>
      </c>
      <c r="I21" s="296" t="s">
        <v>72</v>
      </c>
      <c r="J21" s="523" t="s">
        <v>616</v>
      </c>
      <c r="K21" s="523" t="s">
        <v>616</v>
      </c>
      <c r="L21" s="523" t="s">
        <v>616</v>
      </c>
      <c r="M21" s="297" t="s">
        <v>74</v>
      </c>
      <c r="N21" s="290" t="s">
        <v>74</v>
      </c>
      <c r="O21" s="523" t="s">
        <v>616</v>
      </c>
      <c r="P21" s="523" t="s">
        <v>616</v>
      </c>
    </row>
    <row r="22" spans="1:16">
      <c r="A22" s="4">
        <v>116</v>
      </c>
      <c r="B22" s="4" t="s">
        <v>76</v>
      </c>
      <c r="C22" s="76" t="s">
        <v>77</v>
      </c>
      <c r="D22" s="636" t="s">
        <v>78</v>
      </c>
      <c r="E22" s="636" t="s">
        <v>78</v>
      </c>
      <c r="F22" s="78" t="s">
        <v>12</v>
      </c>
      <c r="G22" s="636" t="s">
        <v>396</v>
      </c>
      <c r="H22" s="636" t="s">
        <v>396</v>
      </c>
      <c r="I22" s="636" t="s">
        <v>396</v>
      </c>
      <c r="J22" s="636" t="s">
        <v>396</v>
      </c>
      <c r="K22" s="636" t="s">
        <v>396</v>
      </c>
      <c r="L22" s="636" t="s">
        <v>396</v>
      </c>
      <c r="M22" s="636" t="s">
        <v>396</v>
      </c>
      <c r="N22" s="636" t="s">
        <v>396</v>
      </c>
      <c r="O22" s="636" t="s">
        <v>396</v>
      </c>
      <c r="P22" s="636" t="s">
        <v>396</v>
      </c>
    </row>
    <row r="23" spans="1:16">
      <c r="A23" s="4">
        <v>117</v>
      </c>
      <c r="B23" s="4" t="s">
        <v>79</v>
      </c>
      <c r="C23" s="76" t="s">
        <v>80</v>
      </c>
      <c r="D23" s="282" t="s">
        <v>81</v>
      </c>
      <c r="E23" s="4" t="s">
        <v>81</v>
      </c>
      <c r="F23" s="78" t="s">
        <v>12</v>
      </c>
      <c r="G23" s="290" t="s">
        <v>81</v>
      </c>
      <c r="H23" s="290" t="s">
        <v>81</v>
      </c>
      <c r="I23" s="297" t="s">
        <v>81</v>
      </c>
      <c r="J23" s="290" t="s">
        <v>81</v>
      </c>
      <c r="K23" s="290" t="s">
        <v>81</v>
      </c>
      <c r="L23" s="290" t="s">
        <v>81</v>
      </c>
      <c r="M23" s="297" t="s">
        <v>81</v>
      </c>
      <c r="N23" s="290" t="s">
        <v>81</v>
      </c>
      <c r="O23" s="290" t="s">
        <v>81</v>
      </c>
      <c r="P23" s="290" t="s">
        <v>81</v>
      </c>
    </row>
    <row r="24" spans="1:16">
      <c r="A24" s="4">
        <v>52</v>
      </c>
      <c r="B24" s="4" t="s">
        <v>82</v>
      </c>
      <c r="C24" s="104" t="s">
        <v>620</v>
      </c>
      <c r="D24" s="282" t="s">
        <v>85</v>
      </c>
      <c r="E24" s="5" t="s">
        <v>86</v>
      </c>
      <c r="F24" s="78" t="s">
        <v>27</v>
      </c>
      <c r="G24" s="290" t="s">
        <v>85</v>
      </c>
      <c r="H24" s="290" t="s">
        <v>85</v>
      </c>
      <c r="I24" s="296" t="s">
        <v>86</v>
      </c>
      <c r="J24" s="292" t="s">
        <v>86</v>
      </c>
      <c r="K24" s="290" t="s">
        <v>85</v>
      </c>
      <c r="L24" s="290" t="s">
        <v>85</v>
      </c>
      <c r="M24" s="296" t="s">
        <v>86</v>
      </c>
      <c r="N24" s="292" t="s">
        <v>86</v>
      </c>
      <c r="O24" s="290" t="s">
        <v>85</v>
      </c>
      <c r="P24" s="290" t="s">
        <v>85</v>
      </c>
    </row>
    <row r="25" spans="1:16">
      <c r="A25" s="4">
        <v>114</v>
      </c>
      <c r="B25" s="4" t="s">
        <v>87</v>
      </c>
      <c r="C25" s="112" t="s">
        <v>621</v>
      </c>
      <c r="D25" s="282" t="s">
        <v>85</v>
      </c>
      <c r="E25" s="5" t="s">
        <v>86</v>
      </c>
      <c r="F25" s="78" t="s">
        <v>27</v>
      </c>
      <c r="G25" s="290" t="s">
        <v>85</v>
      </c>
      <c r="H25" s="290" t="s">
        <v>85</v>
      </c>
      <c r="I25" s="296" t="s">
        <v>86</v>
      </c>
      <c r="J25" s="292" t="s">
        <v>86</v>
      </c>
      <c r="K25" s="290" t="s">
        <v>85</v>
      </c>
      <c r="L25" s="290" t="s">
        <v>85</v>
      </c>
      <c r="M25" s="296" t="s">
        <v>86</v>
      </c>
      <c r="N25" s="292" t="s">
        <v>86</v>
      </c>
      <c r="O25" s="290" t="s">
        <v>85</v>
      </c>
      <c r="P25" s="290" t="s">
        <v>85</v>
      </c>
    </row>
    <row r="26" spans="1:16">
      <c r="A26" s="4">
        <v>133</v>
      </c>
      <c r="B26" s="4" t="s">
        <v>88</v>
      </c>
      <c r="C26" s="112" t="s">
        <v>621</v>
      </c>
      <c r="D26" s="282" t="s">
        <v>85</v>
      </c>
      <c r="E26" s="5" t="s">
        <v>86</v>
      </c>
      <c r="F26" s="78" t="s">
        <v>27</v>
      </c>
      <c r="G26" s="290" t="s">
        <v>85</v>
      </c>
      <c r="H26" s="290" t="s">
        <v>85</v>
      </c>
      <c r="I26" s="296" t="s">
        <v>86</v>
      </c>
      <c r="J26" s="292" t="s">
        <v>86</v>
      </c>
      <c r="K26" s="290" t="s">
        <v>85</v>
      </c>
      <c r="L26" s="290" t="s">
        <v>85</v>
      </c>
      <c r="M26" s="296" t="s">
        <v>86</v>
      </c>
      <c r="N26" s="292" t="s">
        <v>86</v>
      </c>
      <c r="O26" s="290" t="s">
        <v>85</v>
      </c>
      <c r="P26" s="290" t="s">
        <v>85</v>
      </c>
    </row>
    <row r="27" spans="1:16">
      <c r="A27" s="4">
        <v>134</v>
      </c>
      <c r="B27" s="4" t="s">
        <v>90</v>
      </c>
      <c r="C27" s="112" t="s">
        <v>621</v>
      </c>
      <c r="D27" s="282" t="s">
        <v>85</v>
      </c>
      <c r="E27" s="5" t="s">
        <v>86</v>
      </c>
      <c r="F27" s="78" t="s">
        <v>27</v>
      </c>
      <c r="G27" s="290" t="s">
        <v>85</v>
      </c>
      <c r="H27" s="290" t="s">
        <v>85</v>
      </c>
      <c r="I27" s="296" t="s">
        <v>86</v>
      </c>
      <c r="J27" s="292" t="s">
        <v>86</v>
      </c>
      <c r="K27" s="290" t="s">
        <v>85</v>
      </c>
      <c r="L27" s="290" t="s">
        <v>85</v>
      </c>
      <c r="M27" s="296" t="s">
        <v>86</v>
      </c>
      <c r="N27" s="292" t="s">
        <v>86</v>
      </c>
      <c r="O27" s="290" t="s">
        <v>85</v>
      </c>
      <c r="P27" s="290" t="s">
        <v>85</v>
      </c>
    </row>
    <row r="28" spans="1:16">
      <c r="A28" s="4">
        <v>135</v>
      </c>
      <c r="B28" s="4" t="s">
        <v>91</v>
      </c>
      <c r="C28" s="112" t="s">
        <v>620</v>
      </c>
      <c r="D28" s="282" t="s">
        <v>85</v>
      </c>
      <c r="E28" s="5" t="s">
        <v>86</v>
      </c>
      <c r="F28" s="78" t="s">
        <v>27</v>
      </c>
      <c r="G28" s="290" t="s">
        <v>85</v>
      </c>
      <c r="H28" s="290" t="s">
        <v>85</v>
      </c>
      <c r="I28" s="296" t="s">
        <v>86</v>
      </c>
      <c r="J28" s="292" t="s">
        <v>86</v>
      </c>
      <c r="K28" s="290" t="s">
        <v>85</v>
      </c>
      <c r="L28" s="290" t="s">
        <v>85</v>
      </c>
      <c r="M28" s="296" t="s">
        <v>86</v>
      </c>
      <c r="N28" s="292" t="s">
        <v>86</v>
      </c>
      <c r="O28" s="290" t="s">
        <v>85</v>
      </c>
      <c r="P28" s="290" t="s">
        <v>85</v>
      </c>
    </row>
    <row r="29" spans="1:16">
      <c r="A29" s="4">
        <v>137</v>
      </c>
      <c r="B29" s="4" t="s">
        <v>94</v>
      </c>
      <c r="C29" s="112" t="s">
        <v>622</v>
      </c>
      <c r="D29" s="282" t="s">
        <v>85</v>
      </c>
      <c r="E29" s="4" t="s">
        <v>85</v>
      </c>
      <c r="F29" s="78" t="s">
        <v>27</v>
      </c>
      <c r="G29" s="290" t="s">
        <v>85</v>
      </c>
      <c r="H29" s="290" t="s">
        <v>85</v>
      </c>
      <c r="I29" s="297" t="s">
        <v>85</v>
      </c>
      <c r="J29" s="290" t="s">
        <v>85</v>
      </c>
      <c r="K29" s="290" t="s">
        <v>85</v>
      </c>
      <c r="L29" s="290" t="s">
        <v>85</v>
      </c>
      <c r="M29" s="297" t="s">
        <v>85</v>
      </c>
      <c r="N29" s="290" t="s">
        <v>85</v>
      </c>
      <c r="O29" s="290" t="s">
        <v>85</v>
      </c>
      <c r="P29" s="290" t="s">
        <v>85</v>
      </c>
    </row>
    <row r="30" spans="1:16">
      <c r="A30" s="4">
        <v>139</v>
      </c>
      <c r="B30" s="4" t="s">
        <v>97</v>
      </c>
      <c r="C30" s="112" t="s">
        <v>623</v>
      </c>
      <c r="D30" s="282" t="s">
        <v>85</v>
      </c>
      <c r="E30" s="4" t="s">
        <v>85</v>
      </c>
      <c r="F30" s="78" t="s">
        <v>27</v>
      </c>
      <c r="G30" s="290" t="s">
        <v>85</v>
      </c>
      <c r="H30" s="290" t="s">
        <v>85</v>
      </c>
      <c r="I30" s="297" t="s">
        <v>85</v>
      </c>
      <c r="J30" s="290" t="s">
        <v>85</v>
      </c>
      <c r="K30" s="290" t="s">
        <v>85</v>
      </c>
      <c r="L30" s="290" t="s">
        <v>85</v>
      </c>
      <c r="M30" s="297" t="s">
        <v>85</v>
      </c>
      <c r="N30" s="290" t="s">
        <v>85</v>
      </c>
      <c r="O30" s="290" t="s">
        <v>85</v>
      </c>
      <c r="P30" s="290" t="s">
        <v>85</v>
      </c>
    </row>
    <row r="31" spans="1:16" ht="26.1">
      <c r="A31" s="4">
        <v>119</v>
      </c>
      <c r="B31" s="4" t="s">
        <v>99</v>
      </c>
      <c r="C31" s="165" t="s">
        <v>100</v>
      </c>
      <c r="D31" s="282" t="s">
        <v>624</v>
      </c>
      <c r="E31" s="282" t="s">
        <v>624</v>
      </c>
      <c r="F31" s="78" t="s">
        <v>12</v>
      </c>
      <c r="G31" s="282" t="s">
        <v>624</v>
      </c>
      <c r="H31" s="282" t="s">
        <v>624</v>
      </c>
      <c r="I31" s="282" t="s">
        <v>624</v>
      </c>
      <c r="J31" s="282" t="s">
        <v>624</v>
      </c>
      <c r="K31" s="282" t="s">
        <v>624</v>
      </c>
      <c r="L31" s="282" t="s">
        <v>624</v>
      </c>
      <c r="M31" s="282" t="s">
        <v>624</v>
      </c>
      <c r="N31" s="282" t="s">
        <v>624</v>
      </c>
      <c r="O31" s="282" t="s">
        <v>624</v>
      </c>
      <c r="P31" s="282" t="s">
        <v>624</v>
      </c>
    </row>
    <row r="32" spans="1:16" ht="26.1">
      <c r="A32" s="4">
        <v>150</v>
      </c>
      <c r="B32" s="4" t="s">
        <v>102</v>
      </c>
      <c r="C32" s="76" t="s">
        <v>103</v>
      </c>
      <c r="D32" s="79" t="s">
        <v>104</v>
      </c>
      <c r="E32" s="3" t="s">
        <v>104</v>
      </c>
      <c r="F32" s="78" t="s">
        <v>12</v>
      </c>
      <c r="G32" s="282" t="s">
        <v>624</v>
      </c>
      <c r="H32" s="282" t="s">
        <v>624</v>
      </c>
      <c r="I32" s="282" t="s">
        <v>624</v>
      </c>
      <c r="J32" s="282" t="s">
        <v>624</v>
      </c>
      <c r="K32" s="282" t="s">
        <v>624</v>
      </c>
      <c r="L32" s="282" t="s">
        <v>624</v>
      </c>
      <c r="M32" s="282" t="s">
        <v>624</v>
      </c>
      <c r="N32" s="282" t="s">
        <v>624</v>
      </c>
      <c r="O32" s="282" t="s">
        <v>624</v>
      </c>
      <c r="P32" s="282" t="s">
        <v>624</v>
      </c>
    </row>
    <row r="33" spans="1:16" ht="26.1" hidden="1">
      <c r="A33" s="4">
        <v>537</v>
      </c>
      <c r="B33" s="4" t="s">
        <v>105</v>
      </c>
      <c r="C33" s="165" t="s">
        <v>107</v>
      </c>
      <c r="D33" s="282" t="s">
        <v>108</v>
      </c>
      <c r="E33" s="4" t="s">
        <v>51</v>
      </c>
      <c r="F33" s="78" t="s">
        <v>19</v>
      </c>
      <c r="G33" s="290" t="s">
        <v>51</v>
      </c>
      <c r="H33" s="290" t="s">
        <v>51</v>
      </c>
      <c r="I33" s="297" t="s">
        <v>51</v>
      </c>
      <c r="J33" s="290" t="s">
        <v>51</v>
      </c>
      <c r="K33" s="290" t="s">
        <v>51</v>
      </c>
      <c r="L33" s="290" t="s">
        <v>51</v>
      </c>
      <c r="M33" s="297" t="s">
        <v>51</v>
      </c>
      <c r="N33" s="290" t="s">
        <v>51</v>
      </c>
      <c r="O33" s="290" t="s">
        <v>51</v>
      </c>
      <c r="P33" s="290" t="s">
        <v>51</v>
      </c>
    </row>
    <row r="34" spans="1:16" hidden="1">
      <c r="A34" s="4">
        <v>906</v>
      </c>
      <c r="B34" s="3" t="s">
        <v>109</v>
      </c>
      <c r="C34" s="76" t="s">
        <v>77</v>
      </c>
      <c r="D34" s="636" t="s">
        <v>396</v>
      </c>
      <c r="E34" s="636" t="s">
        <v>396</v>
      </c>
      <c r="F34" s="78" t="s">
        <v>12</v>
      </c>
      <c r="G34" s="636" t="s">
        <v>396</v>
      </c>
      <c r="H34" s="636" t="s">
        <v>396</v>
      </c>
      <c r="I34" s="636" t="s">
        <v>396</v>
      </c>
      <c r="J34" s="636" t="s">
        <v>396</v>
      </c>
      <c r="K34" s="636" t="s">
        <v>396</v>
      </c>
      <c r="L34" s="636" t="s">
        <v>396</v>
      </c>
      <c r="M34" s="636" t="s">
        <v>396</v>
      </c>
      <c r="N34" s="636" t="s">
        <v>396</v>
      </c>
      <c r="O34" s="636" t="s">
        <v>396</v>
      </c>
      <c r="P34" s="636" t="s">
        <v>396</v>
      </c>
    </row>
    <row r="35" spans="1:16" hidden="1">
      <c r="A35" s="4">
        <v>907</v>
      </c>
      <c r="B35" s="4" t="s">
        <v>291</v>
      </c>
      <c r="C35" s="76" t="s">
        <v>77</v>
      </c>
      <c r="D35" s="636" t="s">
        <v>396</v>
      </c>
      <c r="E35" s="636" t="s">
        <v>396</v>
      </c>
      <c r="F35" s="78" t="s">
        <v>12</v>
      </c>
      <c r="G35" s="636" t="s">
        <v>396</v>
      </c>
      <c r="H35" s="636" t="s">
        <v>396</v>
      </c>
      <c r="I35" s="636" t="s">
        <v>396</v>
      </c>
      <c r="J35" s="636" t="s">
        <v>396</v>
      </c>
      <c r="K35" s="636" t="s">
        <v>396</v>
      </c>
      <c r="L35" s="636" t="s">
        <v>396</v>
      </c>
      <c r="M35" s="636" t="s">
        <v>396</v>
      </c>
      <c r="N35" s="636" t="s">
        <v>396</v>
      </c>
      <c r="O35" s="636" t="s">
        <v>396</v>
      </c>
      <c r="P35" s="636" t="s">
        <v>396</v>
      </c>
    </row>
  </sheetData>
  <autoFilter ref="A1:P35" xr:uid="{6A904E35-33D1-4AF6-9588-5FB65673AC03}">
    <filterColumn colId="1">
      <filters>
        <filter val="CQT - Configuration &amp; Quotation Tool"/>
        <filter val="Modern Requirements"/>
      </filters>
    </filterColumn>
  </autoFilter>
  <hyperlinks>
    <hyperlink ref="C24" r:id="rId1" xr:uid="{77264AB7-CC3F-4204-8DB5-5E2251042B39}"/>
    <hyperlink ref="C28" r:id="rId2" xr:uid="{04E87447-ADF5-4817-8294-3A1C2EFCE770}"/>
    <hyperlink ref="C29" r:id="rId3" xr:uid="{24CC4E47-3427-4B5E-BEC7-D0145A6ECF45}"/>
    <hyperlink ref="C30" r:id="rId4" xr:uid="{B071B8D7-8446-4AFA-8346-7BB743752F5A}"/>
    <hyperlink ref="C2" r:id="rId5" xr:uid="{268569B3-05AD-4674-A18A-E3CB4598E4A5}"/>
    <hyperlink ref="C18" r:id="rId6" xr:uid="{8161392B-C527-40D7-80A5-3D1F8B31A023}"/>
    <hyperlink ref="C17" r:id="rId7" display="renate.floeser@freseniusmedicalcare.com" xr:uid="{85109E49-A5FC-4752-A576-EA757E00D4BB}"/>
    <hyperlink ref="C19" r:id="rId8" xr:uid="{FC757E95-F3DD-48BF-BADF-2C31A59D7188}"/>
    <hyperlink ref="C20" r:id="rId9" xr:uid="{E8F377F2-955C-41E7-BDE8-2D00B875C8FB}"/>
    <hyperlink ref="C23" r:id="rId10" xr:uid="{6F0419A4-0D57-47CE-A14A-9EF192C6253B}"/>
    <hyperlink ref="C25" r:id="rId11" xr:uid="{6190E2F1-57B7-4CA0-8884-90AF68501C96}"/>
    <hyperlink ref="C26" r:id="rId12" xr:uid="{18DEAEAA-BD29-4EBB-8E40-0B34CC7FA0E6}"/>
    <hyperlink ref="C27" r:id="rId13" xr:uid="{3C2BA2DC-1BF6-4B5C-9C9C-39A50544777E}"/>
    <hyperlink ref="C21" r:id="rId14" xr:uid="{F9A0B439-1311-4097-9E1B-287A4E2BD6A3}"/>
    <hyperlink ref="C22" r:id="rId15" xr:uid="{115423E7-A538-433E-AE4F-B55A206EBF53}"/>
    <hyperlink ref="C9" r:id="rId16" xr:uid="{B6A91FCE-0142-4F4C-84B9-B918D9ED6044}"/>
    <hyperlink ref="C10" r:id="rId17" xr:uid="{961880B3-ED1B-4FED-8D20-7500CD80845C}"/>
    <hyperlink ref="C5" r:id="rId18" xr:uid="{12923607-8C6F-4937-B4B0-70F0DB0510DE}"/>
    <hyperlink ref="E8" r:id="rId19" display="joyson.a@cognizant.com" xr:uid="{F59F755A-6165-46EB-B65D-18FF100B7C7E}"/>
    <hyperlink ref="C8" r:id="rId20" xr:uid="{E3093699-5BFF-4FB5-8C75-A3AC6ABBCD09}"/>
    <hyperlink ref="D21" r:id="rId21" xr:uid="{1AC00752-305E-4A3B-A20C-38C81DD65B02}"/>
    <hyperlink ref="D20" r:id="rId22" xr:uid="{A1776D64-6B1D-4964-8E14-E7905C4B6B0A}"/>
    <hyperlink ref="D19" r:id="rId23" xr:uid="{581FCFA6-DAB3-4BDA-A697-6EC4DBED4311}"/>
    <hyperlink ref="D18" r:id="rId24" xr:uid="{45B0DA1A-0058-4CF9-A606-5C6BBFD0CDB7}"/>
    <hyperlink ref="D17" r:id="rId25" xr:uid="{23CEC82C-71DC-431A-8DA5-A18F47F62D71}"/>
    <hyperlink ref="C14" r:id="rId26" xr:uid="{196B0CA9-8A7D-4E7E-AE95-A6A7790B290E}"/>
    <hyperlink ref="C15" r:id="rId27" xr:uid="{18B24299-FF9E-47D2-B492-FCDEF8C16B70}"/>
    <hyperlink ref="C16" r:id="rId28" xr:uid="{F5B5550B-4F3D-410D-A04F-2B371EFECF28}"/>
    <hyperlink ref="C32" r:id="rId29" xr:uid="{A7D61A27-B7C3-4F8E-AD13-DC0A986F400D}"/>
    <hyperlink ref="G21" r:id="rId30" xr:uid="{FF31DDAD-2FFF-4AE3-A7F1-B525CC2E5F9B}"/>
    <hyperlink ref="H21" r:id="rId31" xr:uid="{D5E08856-EFFB-4E74-8CC0-92DDF20DC77A}"/>
    <hyperlink ref="G19" r:id="rId32" xr:uid="{34FF5D45-C279-4709-B95E-8539C7D895C3}"/>
    <hyperlink ref="J19" r:id="rId33" xr:uid="{B6872CBC-424F-49B4-97D8-79E8FCD8C819}"/>
    <hyperlink ref="K21" r:id="rId34" xr:uid="{D40AB414-BF66-4BFF-906B-47877F34D7DE}"/>
    <hyperlink ref="L21" r:id="rId35" xr:uid="{009D3B33-0A8E-4CF4-B851-71A6BB6B9AD4}"/>
    <hyperlink ref="K19" r:id="rId36" xr:uid="{57283D57-27F9-4131-8A2B-FFB3518DB517}"/>
    <hyperlink ref="M19" r:id="rId37" display="divya.unnikrishnan@freseniusmedicalcare.com" xr:uid="{75114080-D2F3-4D00-99F0-03291B078B48}"/>
    <hyperlink ref="O21" r:id="rId38" xr:uid="{87BD3852-B51E-4D2C-8972-E42483E77A79}"/>
    <hyperlink ref="P21" r:id="rId39" xr:uid="{AFBDF387-2CB3-4AB3-AC60-08C0287A2288}"/>
    <hyperlink ref="O19" r:id="rId40" xr:uid="{138B8A87-0752-4E83-BD10-0D804F421875}"/>
    <hyperlink ref="J20" r:id="rId41" xr:uid="{44878046-8798-4E66-B91A-D74E8F9CECB3}"/>
    <hyperlink ref="J21" r:id="rId42" xr:uid="{37EB27E9-A4D2-42FE-BC70-B815B43BFF02}"/>
    <hyperlink ref="J18" r:id="rId43" xr:uid="{84FE0DB4-3478-4A14-BDA2-86031D336F84}"/>
    <hyperlink ref="N19" r:id="rId44" display="divya.unnikrishnan@freseniusmedicalcare.com" xr:uid="{C497858C-5A7D-4153-858D-51D40B979A46}"/>
    <hyperlink ref="M20" r:id="rId45" display="divya.unnikrishnan@freseniusmedicalcare.com" xr:uid="{5916F847-CF3C-4FC3-9FD3-992B5D81178E}"/>
    <hyperlink ref="N20" r:id="rId46" display="divya.unnikrishnan@freseniusmedicalcare.com" xr:uid="{CFCD480D-4604-4BE0-9333-7A2DE9319221}"/>
    <hyperlink ref="C34" r:id="rId47" xr:uid="{E71AC90D-93EF-47FA-86DB-615870B4ACB5}"/>
    <hyperlink ref="C35" r:id="rId48" xr:uid="{2FC7E1A2-9A62-450C-98A3-84209D65C79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49DF-BA5A-414D-8F40-1CB26EB87C7B}">
  <dimension ref="A1:D32"/>
  <sheetViews>
    <sheetView workbookViewId="0">
      <selection activeCell="A32" sqref="A32"/>
    </sheetView>
  </sheetViews>
  <sheetFormatPr defaultRowHeight="14.45"/>
  <cols>
    <col min="1" max="1" width="21.7109375" customWidth="1"/>
    <col min="2" max="2" width="42.85546875" bestFit="1" customWidth="1"/>
    <col min="3" max="3" width="50.7109375" bestFit="1" customWidth="1"/>
    <col min="4" max="4" width="15.28515625" bestFit="1" customWidth="1"/>
  </cols>
  <sheetData>
    <row r="1" spans="1:4" s="436" customFormat="1" ht="15.95">
      <c r="A1" s="435" t="s">
        <v>625</v>
      </c>
      <c r="B1" s="437" t="s">
        <v>626</v>
      </c>
      <c r="C1" s="435" t="s">
        <v>627</v>
      </c>
      <c r="D1" s="438" t="s">
        <v>353</v>
      </c>
    </row>
    <row r="2" spans="1:4">
      <c r="A2" s="440" t="s">
        <v>174</v>
      </c>
      <c r="B2" s="441" t="s">
        <v>628</v>
      </c>
      <c r="C2" s="442" t="s">
        <v>175</v>
      </c>
      <c r="D2" s="443" t="s">
        <v>176</v>
      </c>
    </row>
    <row r="3" spans="1:4">
      <c r="A3" s="440" t="s">
        <v>470</v>
      </c>
      <c r="B3" s="441" t="s">
        <v>629</v>
      </c>
      <c r="C3" s="442" t="s">
        <v>220</v>
      </c>
      <c r="D3" s="444" t="s">
        <v>630</v>
      </c>
    </row>
    <row r="4" spans="1:4">
      <c r="A4" s="440" t="s">
        <v>631</v>
      </c>
      <c r="B4" s="441" t="s">
        <v>632</v>
      </c>
      <c r="C4" s="442" t="s">
        <v>226</v>
      </c>
      <c r="D4" s="445" t="s">
        <v>633</v>
      </c>
    </row>
    <row r="5" spans="1:4">
      <c r="A5" s="440" t="s">
        <v>634</v>
      </c>
      <c r="B5" s="441" t="s">
        <v>635</v>
      </c>
      <c r="C5" s="442" t="s">
        <v>636</v>
      </c>
      <c r="D5" s="444" t="s">
        <v>637</v>
      </c>
    </row>
    <row r="6" spans="1:4">
      <c r="A6" s="440" t="s">
        <v>148</v>
      </c>
      <c r="B6" s="460" t="s">
        <v>638</v>
      </c>
      <c r="C6" s="461" t="s">
        <v>639</v>
      </c>
      <c r="D6" s="444" t="s">
        <v>640</v>
      </c>
    </row>
    <row r="7" spans="1:4">
      <c r="A7" s="440" t="s">
        <v>145</v>
      </c>
      <c r="B7" s="441" t="s">
        <v>641</v>
      </c>
      <c r="C7" s="442" t="s">
        <v>146</v>
      </c>
      <c r="D7" s="444" t="s">
        <v>147</v>
      </c>
    </row>
    <row r="8" spans="1:4">
      <c r="A8" s="440" t="s">
        <v>403</v>
      </c>
      <c r="B8" s="639" t="s">
        <v>642</v>
      </c>
      <c r="C8" s="641" t="s">
        <v>643</v>
      </c>
      <c r="D8" s="446" t="s">
        <v>644</v>
      </c>
    </row>
    <row r="9" spans="1:4">
      <c r="A9" s="440" t="s">
        <v>462</v>
      </c>
      <c r="B9" s="441" t="s">
        <v>645</v>
      </c>
      <c r="C9" s="442" t="s">
        <v>646</v>
      </c>
      <c r="D9" s="446" t="s">
        <v>647</v>
      </c>
    </row>
    <row r="10" spans="1:4">
      <c r="A10" s="440" t="s">
        <v>648</v>
      </c>
      <c r="B10" s="441" t="s">
        <v>649</v>
      </c>
      <c r="C10" s="442" t="s">
        <v>650</v>
      </c>
      <c r="D10" s="444" t="s">
        <v>651</v>
      </c>
    </row>
    <row r="11" spans="1:4">
      <c r="A11" s="440" t="s">
        <v>457</v>
      </c>
      <c r="B11" s="441" t="s">
        <v>652</v>
      </c>
      <c r="C11" s="442" t="s">
        <v>246</v>
      </c>
      <c r="D11" s="444" t="s">
        <v>653</v>
      </c>
    </row>
    <row r="12" spans="1:4">
      <c r="A12" s="440" t="s">
        <v>454</v>
      </c>
      <c r="B12" s="441" t="s">
        <v>654</v>
      </c>
      <c r="C12" s="442" t="s">
        <v>655</v>
      </c>
      <c r="D12" s="444" t="s">
        <v>656</v>
      </c>
    </row>
    <row r="13" spans="1:4">
      <c r="A13" s="440" t="s">
        <v>251</v>
      </c>
      <c r="B13" s="441" t="s">
        <v>657</v>
      </c>
      <c r="C13" s="442" t="s">
        <v>252</v>
      </c>
      <c r="D13" s="444" t="s">
        <v>658</v>
      </c>
    </row>
    <row r="14" spans="1:4">
      <c r="A14" s="440" t="s">
        <v>186</v>
      </c>
      <c r="B14" s="441" t="s">
        <v>659</v>
      </c>
      <c r="C14" s="442" t="s">
        <v>187</v>
      </c>
      <c r="D14" s="444" t="s">
        <v>188</v>
      </c>
    </row>
    <row r="15" spans="1:4">
      <c r="A15" s="440" t="s">
        <v>338</v>
      </c>
      <c r="B15" s="441" t="s">
        <v>616</v>
      </c>
      <c r="C15" s="442" t="s">
        <v>660</v>
      </c>
      <c r="D15" s="447" t="s">
        <v>340</v>
      </c>
    </row>
    <row r="16" spans="1:4">
      <c r="A16" s="440" t="s">
        <v>241</v>
      </c>
      <c r="B16" s="639" t="s">
        <v>661</v>
      </c>
      <c r="C16" s="641" t="s">
        <v>242</v>
      </c>
      <c r="D16" s="446" t="s">
        <v>243</v>
      </c>
    </row>
    <row r="17" spans="1:4">
      <c r="A17" s="440" t="s">
        <v>662</v>
      </c>
      <c r="B17" s="441" t="s">
        <v>663</v>
      </c>
      <c r="C17" s="442" t="s">
        <v>664</v>
      </c>
      <c r="D17" s="444" t="s">
        <v>665</v>
      </c>
    </row>
    <row r="18" spans="1:4">
      <c r="A18" s="448" t="s">
        <v>434</v>
      </c>
      <c r="B18" s="449" t="s">
        <v>666</v>
      </c>
      <c r="C18" s="442" t="s">
        <v>667</v>
      </c>
      <c r="D18" s="443" t="s">
        <v>668</v>
      </c>
    </row>
    <row r="19" spans="1:4">
      <c r="A19" s="448" t="s">
        <v>142</v>
      </c>
      <c r="B19" s="449" t="s">
        <v>669</v>
      </c>
      <c r="C19" s="442" t="s">
        <v>143</v>
      </c>
      <c r="D19" s="443" t="s">
        <v>144</v>
      </c>
    </row>
    <row r="20" spans="1:4">
      <c r="A20" s="448" t="s">
        <v>670</v>
      </c>
      <c r="B20" s="449" t="s">
        <v>671</v>
      </c>
      <c r="C20" s="442" t="s">
        <v>266</v>
      </c>
      <c r="D20" s="439" t="s">
        <v>672</v>
      </c>
    </row>
    <row r="21" spans="1:4">
      <c r="A21" s="451" t="s">
        <v>419</v>
      </c>
      <c r="B21" s="452" t="s">
        <v>673</v>
      </c>
      <c r="C21" s="442" t="s">
        <v>249</v>
      </c>
      <c r="D21" s="453" t="s">
        <v>674</v>
      </c>
    </row>
    <row r="22" spans="1:4">
      <c r="A22" s="448" t="s">
        <v>222</v>
      </c>
      <c r="B22" s="449" t="s">
        <v>675</v>
      </c>
      <c r="C22" s="442" t="s">
        <v>223</v>
      </c>
      <c r="D22" s="443" t="s">
        <v>676</v>
      </c>
    </row>
    <row r="23" spans="1:4">
      <c r="A23" s="638" t="s">
        <v>407</v>
      </c>
      <c r="B23" s="637" t="s">
        <v>677</v>
      </c>
      <c r="C23" s="443" t="s">
        <v>255</v>
      </c>
      <c r="D23" s="453" t="s">
        <v>678</v>
      </c>
    </row>
    <row r="24" spans="1:4">
      <c r="A24" s="450" t="s">
        <v>257</v>
      </c>
      <c r="B24" s="640" t="s">
        <v>679</v>
      </c>
      <c r="C24" s="642" t="s">
        <v>258</v>
      </c>
      <c r="D24" s="648" t="s">
        <v>259</v>
      </c>
    </row>
    <row r="25" spans="1:4" ht="15">
      <c r="A25" s="638" t="s">
        <v>397</v>
      </c>
      <c r="B25" s="640" t="s">
        <v>613</v>
      </c>
      <c r="C25" s="642" t="s">
        <v>680</v>
      </c>
      <c r="D25" s="648" t="s">
        <v>681</v>
      </c>
    </row>
    <row r="26" spans="1:4" ht="15">
      <c r="A26" s="448" t="s">
        <v>502</v>
      </c>
      <c r="B26" s="448" t="s">
        <v>682</v>
      </c>
      <c r="C26" s="448" t="s">
        <v>683</v>
      </c>
      <c r="D26" s="648" t="s">
        <v>684</v>
      </c>
    </row>
    <row r="27" spans="1:4" ht="15">
      <c r="A27" s="448" t="s">
        <v>503</v>
      </c>
      <c r="B27" s="448" t="s">
        <v>685</v>
      </c>
      <c r="C27" s="448" t="s">
        <v>686</v>
      </c>
      <c r="D27" s="648" t="s">
        <v>687</v>
      </c>
    </row>
    <row r="28" spans="1:4" ht="15">
      <c r="A28" s="448" t="s">
        <v>504</v>
      </c>
      <c r="B28" s="448" t="s">
        <v>688</v>
      </c>
      <c r="C28" s="448" t="s">
        <v>689</v>
      </c>
      <c r="D28" s="648" t="s">
        <v>690</v>
      </c>
    </row>
    <row r="29" spans="1:4" ht="15">
      <c r="A29" s="448" t="s">
        <v>505</v>
      </c>
      <c r="B29" s="448" t="s">
        <v>691</v>
      </c>
      <c r="C29" s="448" t="s">
        <v>692</v>
      </c>
      <c r="D29" s="648" t="s">
        <v>693</v>
      </c>
    </row>
    <row r="30" spans="1:4" ht="15">
      <c r="A30" s="448" t="s">
        <v>506</v>
      </c>
      <c r="B30" s="448" t="s">
        <v>694</v>
      </c>
      <c r="C30" s="448" t="s">
        <v>695</v>
      </c>
      <c r="D30" s="648" t="s">
        <v>696</v>
      </c>
    </row>
    <row r="31" spans="1:4" ht="15">
      <c r="A31" s="448" t="s">
        <v>507</v>
      </c>
      <c r="B31" s="448" t="s">
        <v>697</v>
      </c>
      <c r="C31" s="448" t="s">
        <v>698</v>
      </c>
      <c r="D31" s="648" t="s">
        <v>521</v>
      </c>
    </row>
    <row r="32" spans="1:4" ht="15">
      <c r="A32" s="448" t="s">
        <v>699</v>
      </c>
      <c r="B32" s="448" t="s">
        <v>700</v>
      </c>
      <c r="C32" s="448" t="s">
        <v>701</v>
      </c>
      <c r="D32" s="648" t="s">
        <v>702</v>
      </c>
    </row>
  </sheetData>
  <autoFilter ref="A1:D1" xr:uid="{7B1C49DF-BA5A-414D-8F40-1CB26EB87C7B}">
    <sortState xmlns:xlrd2="http://schemas.microsoft.com/office/spreadsheetml/2017/richdata2" ref="A2:D25">
      <sortCondition ref="A1"/>
    </sortState>
  </autoFilter>
  <sortState xmlns:xlrd2="http://schemas.microsoft.com/office/spreadsheetml/2017/richdata2" ref="A2:D23">
    <sortCondition ref="A2:A23"/>
  </sortState>
  <conditionalFormatting sqref="D15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hyperlinks>
    <hyperlink ref="B3" r:id="rId1" xr:uid="{482B7DE2-2506-43E8-9F9E-29D481C075BA}"/>
    <hyperlink ref="B9" r:id="rId2" xr:uid="{DED05A3E-EC16-4946-B6D8-35FD3EEAECAF}"/>
    <hyperlink ref="B5" r:id="rId3" xr:uid="{E2DBC11C-F463-4ACB-A8EB-ACC29E829C1C}"/>
    <hyperlink ref="B25" r:id="rId4" xr:uid="{27E78771-8D77-4DC8-A526-3245E71082CE}"/>
    <hyperlink ref="B24" r:id="rId5" xr:uid="{DFA2B983-9A63-4370-8B57-C81EE2BCEAA1}"/>
    <hyperlink ref="B6" r:id="rId6" xr:uid="{0DDD07EC-256A-4049-96C0-33A12BD795D9}"/>
    <hyperlink ref="C6" r:id="rId7" xr:uid="{6DBDED31-4DDE-47A7-8E41-D10846ABF439}"/>
    <hyperlink ref="B8" r:id="rId8" xr:uid="{0C038F9F-42F0-442E-A174-3BA0ED4897E4}"/>
    <hyperlink ref="C8" r:id="rId9" xr:uid="{7FDA24CC-DD1D-442C-BE6A-D3CFDCE95CD2}"/>
    <hyperlink ref="B16" r:id="rId10" xr:uid="{AEA24632-F7EC-4572-8C25-1812C30A6E20}"/>
    <hyperlink ref="C16" r:id="rId11" xr:uid="{9C875705-D0E3-41F0-8DDB-850C3EB75014}"/>
    <hyperlink ref="B29" r:id="rId12" xr:uid="{C9207B65-035F-4DCB-AB2C-6FBB31BD526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6EE7-ED96-4F60-BB36-9392319F7F7A}">
  <dimension ref="A1:AB29"/>
  <sheetViews>
    <sheetView zoomScale="85" zoomScaleNormal="85" workbookViewId="0">
      <pane xSplit="3" ySplit="5" topLeftCell="U14" activePane="bottomRight" state="frozen"/>
      <selection pane="bottomRight" activeCell="U14" sqref="U14"/>
      <selection pane="bottomLeft" activeCell="A6" sqref="A6"/>
      <selection pane="topRight" activeCell="C1" sqref="C1"/>
    </sheetView>
  </sheetViews>
  <sheetFormatPr defaultRowHeight="15" customHeight="1"/>
  <cols>
    <col min="1" max="1" width="12.42578125" customWidth="1"/>
    <col min="2" max="2" width="11.5703125" customWidth="1"/>
    <col min="3" max="3" width="15.7109375" bestFit="1" customWidth="1"/>
    <col min="4" max="4" width="16.140625" bestFit="1" customWidth="1"/>
    <col min="5" max="5" width="19" customWidth="1"/>
    <col min="6" max="6" width="10.140625" bestFit="1" customWidth="1"/>
    <col min="7" max="7" width="13.7109375" bestFit="1" customWidth="1"/>
    <col min="9" max="9" width="14.140625" bestFit="1" customWidth="1"/>
    <col min="10" max="10" width="18.5703125" customWidth="1"/>
    <col min="11" max="11" width="10.140625" bestFit="1" customWidth="1"/>
    <col min="12" max="12" width="16.42578125" customWidth="1"/>
    <col min="14" max="14" width="22.5703125" bestFit="1" customWidth="1"/>
    <col min="15" max="15" width="14.5703125" customWidth="1"/>
    <col min="16" max="16" width="10.140625" bestFit="1" customWidth="1"/>
    <col min="17" max="17" width="14.7109375" bestFit="1" customWidth="1"/>
    <col min="19" max="19" width="15.28515625" bestFit="1" customWidth="1"/>
    <col min="20" max="20" width="17.5703125" customWidth="1"/>
    <col min="21" max="21" width="10.140625" bestFit="1" customWidth="1"/>
    <col min="22" max="22" width="12.85546875" bestFit="1" customWidth="1"/>
    <col min="24" max="24" width="25.85546875" customWidth="1"/>
    <col min="25" max="25" width="49.140625" bestFit="1" customWidth="1"/>
  </cols>
  <sheetData>
    <row r="1" spans="1:28" ht="14.45">
      <c r="A1" s="81" t="s">
        <v>113</v>
      </c>
      <c r="B1" s="109" t="s">
        <v>114</v>
      </c>
      <c r="C1" s="8"/>
      <c r="D1" s="781">
        <v>1</v>
      </c>
      <c r="E1" s="782"/>
      <c r="F1" s="782"/>
      <c r="G1" s="782"/>
      <c r="H1" s="783"/>
      <c r="I1" s="797">
        <v>2</v>
      </c>
      <c r="J1" s="798"/>
      <c r="K1" s="798"/>
      <c r="L1" s="798"/>
      <c r="M1" s="799"/>
      <c r="N1" s="797">
        <v>3</v>
      </c>
      <c r="O1" s="798"/>
      <c r="P1" s="798"/>
      <c r="Q1" s="798"/>
      <c r="R1" s="799"/>
      <c r="S1" s="797">
        <v>4</v>
      </c>
      <c r="T1" s="798"/>
      <c r="U1" s="798"/>
      <c r="V1" s="798"/>
      <c r="W1" s="799"/>
    </row>
    <row r="2" spans="1:28" ht="14.45">
      <c r="A2" s="90" t="s">
        <v>210</v>
      </c>
      <c r="B2" s="90"/>
      <c r="C2" s="90" t="s">
        <v>309</v>
      </c>
      <c r="D2" s="806" t="s">
        <v>116</v>
      </c>
      <c r="E2" s="807"/>
      <c r="F2" s="807"/>
      <c r="G2" s="807"/>
      <c r="H2" s="808"/>
      <c r="I2" s="809" t="s">
        <v>310</v>
      </c>
      <c r="J2" s="810"/>
      <c r="K2" s="810"/>
      <c r="L2" s="810"/>
      <c r="M2" s="811"/>
      <c r="N2" s="809" t="s">
        <v>117</v>
      </c>
      <c r="O2" s="810"/>
      <c r="P2" s="810"/>
      <c r="Q2" s="810"/>
      <c r="R2" s="811"/>
      <c r="S2" s="809" t="s">
        <v>118</v>
      </c>
      <c r="T2" s="810"/>
      <c r="U2" s="810"/>
      <c r="V2" s="810"/>
      <c r="W2" s="812"/>
      <c r="X2" s="809" t="s">
        <v>119</v>
      </c>
      <c r="Y2" s="810"/>
      <c r="Z2" s="810"/>
      <c r="AA2" s="810"/>
      <c r="AB2" s="812"/>
    </row>
    <row r="3" spans="1:28" ht="14.45">
      <c r="A3" s="91" t="s">
        <v>210</v>
      </c>
      <c r="B3" s="91"/>
      <c r="C3" s="91" t="s">
        <v>312</v>
      </c>
      <c r="D3" s="813" t="s">
        <v>313</v>
      </c>
      <c r="E3" s="814"/>
      <c r="F3" s="814"/>
      <c r="G3" s="814"/>
      <c r="H3" s="815"/>
      <c r="I3" s="816" t="s">
        <v>314</v>
      </c>
      <c r="J3" s="817"/>
      <c r="K3" s="817"/>
      <c r="L3" s="817"/>
      <c r="M3" s="818"/>
      <c r="N3" s="816" t="s">
        <v>122</v>
      </c>
      <c r="O3" s="817"/>
      <c r="P3" s="817"/>
      <c r="Q3" s="817"/>
      <c r="R3" s="818"/>
      <c r="S3" s="816" t="s">
        <v>315</v>
      </c>
      <c r="T3" s="817"/>
      <c r="U3" s="817"/>
      <c r="V3" s="817"/>
      <c r="W3" s="819"/>
      <c r="X3" s="816" t="s">
        <v>124</v>
      </c>
      <c r="Y3" s="817"/>
      <c r="Z3" s="817"/>
      <c r="AA3" s="817"/>
      <c r="AB3" s="819"/>
    </row>
    <row r="4" spans="1:28" ht="14.45">
      <c r="A4" s="81" t="s">
        <v>210</v>
      </c>
      <c r="B4" s="81"/>
      <c r="C4" s="81" t="s">
        <v>316</v>
      </c>
      <c r="D4" s="820" t="s">
        <v>317</v>
      </c>
      <c r="E4" s="821"/>
      <c r="F4" s="821"/>
      <c r="G4" s="821"/>
      <c r="H4" s="822"/>
      <c r="I4" s="820" t="s">
        <v>318</v>
      </c>
      <c r="J4" s="821"/>
      <c r="K4" s="821"/>
      <c r="L4" s="821"/>
      <c r="M4" s="822"/>
      <c r="N4" s="820" t="s">
        <v>127</v>
      </c>
      <c r="O4" s="821"/>
      <c r="P4" s="821"/>
      <c r="Q4" s="821"/>
      <c r="R4" s="822"/>
      <c r="S4" s="820" t="s">
        <v>128</v>
      </c>
      <c r="T4" s="821"/>
      <c r="U4" s="821"/>
      <c r="V4" s="821"/>
      <c r="W4" s="822"/>
      <c r="X4" s="820" t="s">
        <v>703</v>
      </c>
      <c r="Y4" s="821"/>
      <c r="Z4" s="821"/>
      <c r="AA4" s="821"/>
      <c r="AB4" s="822"/>
    </row>
    <row r="5" spans="1:28" ht="14.45">
      <c r="A5" s="82" t="s">
        <v>130</v>
      </c>
      <c r="B5" s="108"/>
      <c r="C5" s="83"/>
      <c r="D5" s="84" t="s">
        <v>131</v>
      </c>
      <c r="E5" s="85" t="s">
        <v>132</v>
      </c>
      <c r="F5" s="85" t="s">
        <v>133</v>
      </c>
      <c r="G5" s="85" t="s">
        <v>134</v>
      </c>
      <c r="H5" s="86" t="s">
        <v>135</v>
      </c>
      <c r="I5" s="87" t="s">
        <v>131</v>
      </c>
      <c r="J5" s="85" t="s">
        <v>132</v>
      </c>
      <c r="K5" s="85" t="s">
        <v>133</v>
      </c>
      <c r="L5" s="88" t="s">
        <v>134</v>
      </c>
      <c r="M5" s="89" t="s">
        <v>135</v>
      </c>
      <c r="N5" s="87" t="s">
        <v>131</v>
      </c>
      <c r="O5" s="85" t="s">
        <v>132</v>
      </c>
      <c r="P5" s="85" t="s">
        <v>133</v>
      </c>
      <c r="Q5" s="88" t="s">
        <v>134</v>
      </c>
      <c r="R5" s="89" t="s">
        <v>135</v>
      </c>
      <c r="S5" s="87" t="s">
        <v>131</v>
      </c>
      <c r="T5" s="85" t="s">
        <v>132</v>
      </c>
      <c r="U5" s="85" t="s">
        <v>133</v>
      </c>
      <c r="V5" s="88" t="s">
        <v>134</v>
      </c>
      <c r="W5" s="89" t="s">
        <v>135</v>
      </c>
      <c r="X5" s="87" t="s">
        <v>131</v>
      </c>
      <c r="Y5" s="85" t="s">
        <v>132</v>
      </c>
      <c r="Z5" s="85" t="s">
        <v>133</v>
      </c>
      <c r="AA5" s="88" t="s">
        <v>134</v>
      </c>
      <c r="AB5" s="89" t="s">
        <v>135</v>
      </c>
    </row>
    <row r="6" spans="1:28" ht="14.45">
      <c r="A6" s="498" t="s">
        <v>58</v>
      </c>
      <c r="B6" s="498" t="s">
        <v>136</v>
      </c>
      <c r="C6" s="498"/>
      <c r="D6" s="505" t="s">
        <v>138</v>
      </c>
      <c r="E6" s="505" t="s">
        <v>139</v>
      </c>
      <c r="F6" s="505">
        <v>2261768</v>
      </c>
      <c r="G6" s="505" t="s">
        <v>140</v>
      </c>
      <c r="H6" s="501" t="s">
        <v>141</v>
      </c>
      <c r="I6" s="499" t="s">
        <v>151</v>
      </c>
      <c r="J6" s="500" t="s">
        <v>152</v>
      </c>
      <c r="K6" s="508">
        <v>2262064</v>
      </c>
      <c r="L6" s="500" t="s">
        <v>153</v>
      </c>
      <c r="M6" s="501" t="s">
        <v>141</v>
      </c>
      <c r="N6" s="499" t="s">
        <v>142</v>
      </c>
      <c r="O6" s="58" t="s">
        <v>143</v>
      </c>
      <c r="P6" s="508">
        <v>696947</v>
      </c>
      <c r="Q6" s="500" t="s">
        <v>144</v>
      </c>
      <c r="R6" s="501" t="s">
        <v>141</v>
      </c>
      <c r="S6" s="499" t="s">
        <v>145</v>
      </c>
      <c r="T6" s="58" t="s">
        <v>146</v>
      </c>
      <c r="U6" s="500">
        <v>2068067</v>
      </c>
      <c r="V6" s="500" t="s">
        <v>147</v>
      </c>
      <c r="W6" s="501" t="s">
        <v>244</v>
      </c>
      <c r="X6" s="499" t="s">
        <v>704</v>
      </c>
      <c r="Y6" s="58" t="s">
        <v>705</v>
      </c>
      <c r="Z6" s="500">
        <v>2068067</v>
      </c>
      <c r="AA6" s="500" t="s">
        <v>706</v>
      </c>
      <c r="AB6" s="501" t="s">
        <v>141</v>
      </c>
    </row>
    <row r="7" spans="1:28" ht="14.45">
      <c r="A7" s="92" t="s">
        <v>58</v>
      </c>
      <c r="B7" s="92"/>
      <c r="C7" s="92" t="s">
        <v>137</v>
      </c>
      <c r="D7" s="505"/>
      <c r="E7" s="505"/>
      <c r="F7" s="505"/>
      <c r="G7" s="505"/>
      <c r="H7" s="501"/>
      <c r="I7" s="506" t="s">
        <v>162</v>
      </c>
      <c r="J7" s="504" t="s">
        <v>163</v>
      </c>
      <c r="K7" s="509">
        <v>2096374</v>
      </c>
      <c r="L7" s="504" t="s">
        <v>164</v>
      </c>
      <c r="M7" s="505" t="s">
        <v>244</v>
      </c>
      <c r="N7" s="506" t="s">
        <v>159</v>
      </c>
      <c r="O7" s="504" t="s">
        <v>160</v>
      </c>
      <c r="P7" s="509">
        <v>2228647</v>
      </c>
      <c r="Q7" s="504" t="s">
        <v>161</v>
      </c>
      <c r="R7" s="505" t="s">
        <v>244</v>
      </c>
      <c r="S7" s="503"/>
      <c r="T7" s="504"/>
      <c r="U7" s="504"/>
      <c r="V7" s="504"/>
      <c r="W7" s="505"/>
      <c r="X7" s="503"/>
      <c r="Y7" s="504"/>
      <c r="Z7" s="504"/>
      <c r="AA7" s="504"/>
      <c r="AB7" s="505"/>
    </row>
    <row r="8" spans="1:28" ht="14.45">
      <c r="A8" s="93" t="s">
        <v>154</v>
      </c>
      <c r="B8" s="14" t="s">
        <v>136</v>
      </c>
      <c r="C8" s="93" t="s">
        <v>155</v>
      </c>
      <c r="D8" s="20" t="s">
        <v>156</v>
      </c>
      <c r="E8" s="20" t="s">
        <v>157</v>
      </c>
      <c r="F8" s="20">
        <v>2428440</v>
      </c>
      <c r="G8" s="20" t="s">
        <v>158</v>
      </c>
      <c r="H8" s="22" t="s">
        <v>141</v>
      </c>
      <c r="I8" s="18" t="s">
        <v>162</v>
      </c>
      <c r="J8" s="18" t="s">
        <v>163</v>
      </c>
      <c r="K8" s="71">
        <v>2096374</v>
      </c>
      <c r="L8" s="16" t="s">
        <v>164</v>
      </c>
      <c r="M8" s="17" t="s">
        <v>141</v>
      </c>
      <c r="N8" s="18" t="s">
        <v>159</v>
      </c>
      <c r="O8" s="16" t="s">
        <v>160</v>
      </c>
      <c r="P8" s="71">
        <v>2228647</v>
      </c>
      <c r="Q8" s="16" t="s">
        <v>161</v>
      </c>
      <c r="R8" s="17" t="s">
        <v>141</v>
      </c>
      <c r="S8" s="18" t="s">
        <v>145</v>
      </c>
      <c r="T8" s="116" t="s">
        <v>146</v>
      </c>
      <c r="U8" s="16">
        <v>2068067</v>
      </c>
      <c r="V8" s="16" t="s">
        <v>147</v>
      </c>
      <c r="W8" s="17" t="s">
        <v>141</v>
      </c>
      <c r="X8" s="499" t="s">
        <v>704</v>
      </c>
      <c r="Y8" s="116" t="s">
        <v>705</v>
      </c>
      <c r="Z8" s="16">
        <v>2068067</v>
      </c>
      <c r="AA8" s="16" t="s">
        <v>706</v>
      </c>
      <c r="AB8" s="17" t="s">
        <v>244</v>
      </c>
    </row>
    <row r="9" spans="1:28" ht="14.45">
      <c r="A9" s="94" t="s">
        <v>154</v>
      </c>
      <c r="B9" s="94"/>
      <c r="C9" s="94"/>
      <c r="D9" s="20"/>
      <c r="E9" s="21"/>
      <c r="F9" s="72"/>
      <c r="G9" s="21"/>
      <c r="H9" s="22"/>
      <c r="I9" s="23" t="s">
        <v>151</v>
      </c>
      <c r="J9" s="23" t="s">
        <v>152</v>
      </c>
      <c r="K9" s="72">
        <v>2262064</v>
      </c>
      <c r="L9" s="21" t="s">
        <v>153</v>
      </c>
      <c r="M9" s="22" t="s">
        <v>244</v>
      </c>
      <c r="N9" s="23" t="s">
        <v>142</v>
      </c>
      <c r="O9" s="21" t="s">
        <v>143</v>
      </c>
      <c r="P9" s="72">
        <v>696947</v>
      </c>
      <c r="Q9" s="21" t="s">
        <v>144</v>
      </c>
      <c r="R9" s="22" t="s">
        <v>244</v>
      </c>
      <c r="S9" s="20"/>
      <c r="T9" s="21"/>
      <c r="U9" s="21"/>
      <c r="V9" s="21"/>
      <c r="W9" s="22"/>
      <c r="X9" s="20"/>
      <c r="Y9" s="21"/>
      <c r="Z9" s="21"/>
      <c r="AA9" s="21"/>
      <c r="AB9" s="22"/>
    </row>
    <row r="10" spans="1:28" ht="14.45">
      <c r="A10" s="95" t="s">
        <v>328</v>
      </c>
      <c r="B10" s="24" t="s">
        <v>136</v>
      </c>
      <c r="C10" s="107" t="s">
        <v>707</v>
      </c>
      <c r="D10" s="29" t="s">
        <v>156</v>
      </c>
      <c r="E10" s="30" t="s">
        <v>157</v>
      </c>
      <c r="F10" s="74">
        <v>2428440</v>
      </c>
      <c r="G10" s="30" t="s">
        <v>158</v>
      </c>
      <c r="H10" s="31" t="s">
        <v>141</v>
      </c>
      <c r="I10" s="25" t="s">
        <v>200</v>
      </c>
      <c r="J10" s="26" t="s">
        <v>201</v>
      </c>
      <c r="K10" s="73">
        <v>2276700</v>
      </c>
      <c r="L10" s="26" t="s">
        <v>202</v>
      </c>
      <c r="M10" s="27" t="s">
        <v>141</v>
      </c>
      <c r="N10" s="25" t="s">
        <v>189</v>
      </c>
      <c r="O10" s="26" t="s">
        <v>190</v>
      </c>
      <c r="P10" s="73">
        <v>2425983</v>
      </c>
      <c r="Q10" s="26" t="s">
        <v>191</v>
      </c>
      <c r="R10" s="27" t="s">
        <v>141</v>
      </c>
      <c r="S10" s="25" t="s">
        <v>145</v>
      </c>
      <c r="T10" s="26" t="s">
        <v>146</v>
      </c>
      <c r="U10" s="26">
        <v>2068067</v>
      </c>
      <c r="V10" s="26" t="s">
        <v>147</v>
      </c>
      <c r="W10" s="27" t="s">
        <v>141</v>
      </c>
      <c r="X10" s="499" t="s">
        <v>704</v>
      </c>
      <c r="Y10" s="59" t="s">
        <v>705</v>
      </c>
      <c r="Z10" s="26">
        <v>2068067</v>
      </c>
      <c r="AA10" s="26" t="s">
        <v>706</v>
      </c>
      <c r="AB10" s="27" t="s">
        <v>244</v>
      </c>
    </row>
    <row r="11" spans="1:28" ht="14.45">
      <c r="A11" s="96" t="s">
        <v>328</v>
      </c>
      <c r="B11" s="96"/>
      <c r="C11" s="96"/>
      <c r="D11" s="29"/>
      <c r="E11" s="60"/>
      <c r="F11" s="74"/>
      <c r="G11" s="30"/>
      <c r="H11" s="31"/>
      <c r="I11" s="29" t="s">
        <v>334</v>
      </c>
      <c r="J11" s="30" t="s">
        <v>708</v>
      </c>
      <c r="K11" s="74">
        <v>2003109</v>
      </c>
      <c r="L11" s="30" t="s">
        <v>336</v>
      </c>
      <c r="M11" s="31" t="s">
        <v>141</v>
      </c>
      <c r="N11" s="25" t="s">
        <v>171</v>
      </c>
      <c r="O11" s="59" t="s">
        <v>172</v>
      </c>
      <c r="P11" s="73">
        <v>2134110</v>
      </c>
      <c r="Q11" s="26" t="s">
        <v>173</v>
      </c>
      <c r="R11" s="27" t="s">
        <v>141</v>
      </c>
      <c r="S11" s="32"/>
      <c r="T11" s="30"/>
      <c r="U11" s="30"/>
      <c r="V11" s="30"/>
      <c r="W11" s="31"/>
      <c r="X11" s="32"/>
      <c r="Y11" s="30"/>
      <c r="Z11" s="30"/>
      <c r="AA11" s="30"/>
      <c r="AB11" s="31"/>
    </row>
    <row r="12" spans="1:28" ht="14.45">
      <c r="A12" s="96" t="s">
        <v>328</v>
      </c>
      <c r="B12" s="96"/>
      <c r="C12" s="96"/>
      <c r="D12" s="29"/>
      <c r="E12" s="60"/>
      <c r="F12" s="74"/>
      <c r="G12" s="30"/>
      <c r="H12" s="31"/>
      <c r="I12" s="29" t="s">
        <v>338</v>
      </c>
      <c r="J12" s="30" t="s">
        <v>660</v>
      </c>
      <c r="K12" s="74">
        <v>2410681</v>
      </c>
      <c r="L12" s="30" t="s">
        <v>340</v>
      </c>
      <c r="M12" s="31" t="s">
        <v>141</v>
      </c>
      <c r="N12" s="29" t="s">
        <v>341</v>
      </c>
      <c r="O12" s="30" t="s">
        <v>709</v>
      </c>
      <c r="P12" s="74">
        <v>2276537</v>
      </c>
      <c r="Q12" s="30" t="s">
        <v>343</v>
      </c>
      <c r="R12" s="31" t="s">
        <v>244</v>
      </c>
      <c r="S12" s="32"/>
      <c r="T12" s="30"/>
      <c r="U12" s="30"/>
      <c r="V12" s="30"/>
      <c r="W12" s="31"/>
      <c r="X12" s="32"/>
      <c r="Y12" s="30"/>
      <c r="Z12" s="30"/>
      <c r="AA12" s="30"/>
      <c r="AB12" s="31"/>
    </row>
    <row r="13" spans="1:28" ht="14.45">
      <c r="A13" s="96" t="s">
        <v>328</v>
      </c>
      <c r="B13" s="96"/>
      <c r="C13" s="96"/>
      <c r="D13" s="29"/>
      <c r="E13" s="30"/>
      <c r="F13" s="74"/>
      <c r="G13" s="30"/>
      <c r="H13" s="31"/>
      <c r="I13" s="29" t="s">
        <v>203</v>
      </c>
      <c r="J13" s="30" t="s">
        <v>204</v>
      </c>
      <c r="K13" s="74">
        <v>2436313</v>
      </c>
      <c r="L13" s="30" t="s">
        <v>205</v>
      </c>
      <c r="M13" s="31" t="s">
        <v>244</v>
      </c>
      <c r="N13" s="29" t="s">
        <v>174</v>
      </c>
      <c r="O13" s="60" t="s">
        <v>175</v>
      </c>
      <c r="P13" s="74">
        <v>2177684</v>
      </c>
      <c r="Q13" s="30" t="s">
        <v>176</v>
      </c>
      <c r="R13" s="31" t="s">
        <v>244</v>
      </c>
      <c r="S13" s="32"/>
      <c r="T13" s="30"/>
      <c r="U13" s="30"/>
      <c r="V13" s="30"/>
      <c r="W13" s="31"/>
      <c r="X13" s="32"/>
      <c r="Y13" s="30"/>
      <c r="Z13" s="30"/>
      <c r="AA13" s="30"/>
      <c r="AB13" s="31"/>
    </row>
    <row r="14" spans="1:28" ht="14.45">
      <c r="A14" s="96" t="s">
        <v>328</v>
      </c>
      <c r="B14" s="96"/>
      <c r="C14" s="96"/>
      <c r="D14" s="32"/>
      <c r="E14" s="30"/>
      <c r="F14" s="74"/>
      <c r="G14" s="30"/>
      <c r="H14" s="31"/>
      <c r="I14" s="32"/>
      <c r="J14" s="30"/>
      <c r="K14" s="74"/>
      <c r="L14" s="30"/>
      <c r="M14" s="31"/>
      <c r="N14" s="29" t="s">
        <v>142</v>
      </c>
      <c r="O14" s="30" t="s">
        <v>143</v>
      </c>
      <c r="P14" s="74">
        <v>696947</v>
      </c>
      <c r="Q14" s="30" t="s">
        <v>144</v>
      </c>
      <c r="R14" s="31" t="s">
        <v>244</v>
      </c>
      <c r="S14" s="32"/>
      <c r="T14" s="30"/>
      <c r="U14" s="30"/>
      <c r="V14" s="30"/>
      <c r="W14" s="31"/>
      <c r="X14" s="32"/>
      <c r="Y14" s="30"/>
      <c r="Z14" s="30"/>
      <c r="AA14" s="30"/>
      <c r="AB14" s="31"/>
    </row>
    <row r="15" spans="1:28" ht="14.45">
      <c r="A15" s="96" t="s">
        <v>346</v>
      </c>
      <c r="B15" s="96"/>
      <c r="C15" s="96"/>
      <c r="D15" s="32"/>
      <c r="E15" s="30"/>
      <c r="F15" s="74"/>
      <c r="G15" s="30"/>
      <c r="H15" s="31"/>
      <c r="I15" s="32"/>
      <c r="J15" s="30"/>
      <c r="K15" s="74"/>
      <c r="L15" s="30"/>
      <c r="M15" s="31"/>
      <c r="N15" s="32" t="s">
        <v>186</v>
      </c>
      <c r="O15" s="60" t="s">
        <v>187</v>
      </c>
      <c r="P15" s="74">
        <v>2425958</v>
      </c>
      <c r="Q15" s="30" t="s">
        <v>188</v>
      </c>
      <c r="R15" s="31" t="s">
        <v>141</v>
      </c>
      <c r="S15" s="32"/>
      <c r="T15" s="30"/>
      <c r="U15" s="30"/>
      <c r="V15" s="30"/>
      <c r="W15" s="31"/>
      <c r="X15" s="32"/>
      <c r="Y15" s="30"/>
      <c r="Z15" s="30"/>
      <c r="AA15" s="30"/>
      <c r="AB15" s="31"/>
    </row>
    <row r="16" spans="1:28" ht="14.45">
      <c r="A16" s="97" t="s">
        <v>328</v>
      </c>
      <c r="B16" s="97"/>
      <c r="C16" s="97"/>
      <c r="D16" s="34"/>
      <c r="E16" s="35"/>
      <c r="F16" s="75"/>
      <c r="G16" s="35"/>
      <c r="H16" s="36"/>
      <c r="I16" s="34"/>
      <c r="J16" s="35"/>
      <c r="K16" s="75"/>
      <c r="L16" s="35"/>
      <c r="M16" s="36"/>
      <c r="N16" s="32" t="s">
        <v>207</v>
      </c>
      <c r="O16" s="30" t="s">
        <v>208</v>
      </c>
      <c r="P16" s="74">
        <v>2424270</v>
      </c>
      <c r="Q16" s="30" t="s">
        <v>209</v>
      </c>
      <c r="R16" s="31" t="s">
        <v>141</v>
      </c>
      <c r="S16" s="34"/>
      <c r="T16" s="35"/>
      <c r="U16" s="35"/>
      <c r="V16" s="35"/>
      <c r="W16" s="36"/>
      <c r="X16" s="34"/>
      <c r="Y16" s="35"/>
      <c r="Z16" s="35"/>
      <c r="AA16" s="35"/>
      <c r="AB16" s="36"/>
    </row>
    <row r="17" spans="1:28" ht="26.1">
      <c r="A17" s="98" t="s">
        <v>349</v>
      </c>
      <c r="B17" s="37" t="s">
        <v>136</v>
      </c>
      <c r="C17" s="106" t="s">
        <v>196</v>
      </c>
      <c r="D17" s="38" t="s">
        <v>197</v>
      </c>
      <c r="E17" s="61" t="s">
        <v>198</v>
      </c>
      <c r="F17" s="62">
        <v>2261809</v>
      </c>
      <c r="G17" s="62" t="s">
        <v>199</v>
      </c>
      <c r="H17" s="63" t="s">
        <v>141</v>
      </c>
      <c r="I17" s="38" t="s">
        <v>203</v>
      </c>
      <c r="J17" s="61" t="s">
        <v>204</v>
      </c>
      <c r="K17" s="62">
        <v>2436313</v>
      </c>
      <c r="L17" s="64" t="s">
        <v>710</v>
      </c>
      <c r="M17" s="63" t="s">
        <v>141</v>
      </c>
      <c r="N17" s="38" t="s">
        <v>174</v>
      </c>
      <c r="O17" s="62" t="s">
        <v>175</v>
      </c>
      <c r="P17" s="62">
        <v>2177684</v>
      </c>
      <c r="Q17" s="62" t="s">
        <v>176</v>
      </c>
      <c r="R17" s="63" t="s">
        <v>141</v>
      </c>
      <c r="S17" s="38" t="s">
        <v>145</v>
      </c>
      <c r="T17" s="62" t="s">
        <v>146</v>
      </c>
      <c r="U17" s="62">
        <v>2068067</v>
      </c>
      <c r="V17" s="62" t="s">
        <v>147</v>
      </c>
      <c r="W17" s="63" t="s">
        <v>244</v>
      </c>
      <c r="X17" s="499" t="s">
        <v>704</v>
      </c>
      <c r="Y17" s="61" t="s">
        <v>705</v>
      </c>
      <c r="Z17" s="62">
        <v>2068067</v>
      </c>
      <c r="AA17" s="62" t="s">
        <v>706</v>
      </c>
      <c r="AB17" s="63" t="s">
        <v>141</v>
      </c>
    </row>
    <row r="18" spans="1:28" ht="14.45">
      <c r="A18" s="98" t="s">
        <v>349</v>
      </c>
      <c r="B18" s="98"/>
      <c r="C18" s="37"/>
      <c r="D18" s="41"/>
      <c r="E18" s="65"/>
      <c r="F18" s="66"/>
      <c r="G18" s="66"/>
      <c r="H18" s="67"/>
      <c r="I18" s="41" t="s">
        <v>200</v>
      </c>
      <c r="J18" s="66" t="s">
        <v>201</v>
      </c>
      <c r="K18" s="66">
        <v>2276700</v>
      </c>
      <c r="L18" s="66" t="s">
        <v>202</v>
      </c>
      <c r="M18" s="67" t="s">
        <v>244</v>
      </c>
      <c r="N18" s="41" t="s">
        <v>341</v>
      </c>
      <c r="O18" s="66" t="s">
        <v>709</v>
      </c>
      <c r="P18" s="66">
        <v>2276537</v>
      </c>
      <c r="Q18" s="66" t="s">
        <v>343</v>
      </c>
      <c r="R18" s="67" t="s">
        <v>141</v>
      </c>
      <c r="S18" s="41"/>
      <c r="T18" s="66"/>
      <c r="U18" s="66"/>
      <c r="V18" s="66"/>
      <c r="W18" s="67"/>
      <c r="X18" s="41"/>
      <c r="Y18" s="66"/>
      <c r="Z18" s="66"/>
      <c r="AA18" s="66"/>
      <c r="AB18" s="67"/>
    </row>
    <row r="19" spans="1:28" ht="14.45">
      <c r="A19" s="98" t="s">
        <v>349</v>
      </c>
      <c r="B19" s="98"/>
      <c r="C19" s="37"/>
      <c r="D19" s="41"/>
      <c r="E19" s="66"/>
      <c r="F19" s="66"/>
      <c r="G19" s="66"/>
      <c r="H19" s="67"/>
      <c r="I19" s="41" t="s">
        <v>334</v>
      </c>
      <c r="J19" s="66" t="s">
        <v>708</v>
      </c>
      <c r="K19" s="66">
        <v>2003109</v>
      </c>
      <c r="L19" s="66" t="s">
        <v>336</v>
      </c>
      <c r="M19" s="67" t="s">
        <v>244</v>
      </c>
      <c r="N19" s="41" t="s">
        <v>189</v>
      </c>
      <c r="O19" s="66" t="s">
        <v>190</v>
      </c>
      <c r="P19" s="66">
        <v>2425983</v>
      </c>
      <c r="Q19" s="66" t="s">
        <v>191</v>
      </c>
      <c r="R19" s="67" t="s">
        <v>244</v>
      </c>
      <c r="S19" s="41"/>
      <c r="T19" s="66"/>
      <c r="U19" s="66"/>
      <c r="V19" s="66"/>
      <c r="W19" s="67"/>
      <c r="X19" s="41"/>
      <c r="Y19" s="66"/>
      <c r="Z19" s="66"/>
      <c r="AA19" s="66"/>
      <c r="AB19" s="67"/>
    </row>
    <row r="20" spans="1:28" ht="14.45">
      <c r="A20" s="98" t="s">
        <v>349</v>
      </c>
      <c r="B20" s="98"/>
      <c r="C20" s="37"/>
      <c r="D20" s="41"/>
      <c r="E20" s="66"/>
      <c r="F20" s="66"/>
      <c r="G20" s="66"/>
      <c r="H20" s="67"/>
      <c r="I20" s="41" t="s">
        <v>338</v>
      </c>
      <c r="J20" s="65" t="s">
        <v>660</v>
      </c>
      <c r="K20" s="66">
        <v>2410681</v>
      </c>
      <c r="L20" s="66" t="s">
        <v>340</v>
      </c>
      <c r="M20" s="67" t="s">
        <v>244</v>
      </c>
      <c r="N20" s="41" t="s">
        <v>156</v>
      </c>
      <c r="O20" s="66" t="s">
        <v>157</v>
      </c>
      <c r="P20" s="66">
        <v>2428440</v>
      </c>
      <c r="Q20" s="66" t="s">
        <v>158</v>
      </c>
      <c r="R20" s="67" t="s">
        <v>244</v>
      </c>
      <c r="S20" s="41"/>
      <c r="T20" s="66"/>
      <c r="U20" s="66"/>
      <c r="V20" s="66"/>
      <c r="W20" s="67"/>
      <c r="X20" s="41"/>
      <c r="Y20" s="66"/>
      <c r="Z20" s="66"/>
      <c r="AA20" s="66"/>
      <c r="AB20" s="67"/>
    </row>
    <row r="21" spans="1:28" ht="14.45">
      <c r="A21" s="98" t="s">
        <v>349</v>
      </c>
      <c r="B21" s="98"/>
      <c r="C21" s="37"/>
      <c r="D21" s="41"/>
      <c r="E21" s="66"/>
      <c r="F21" s="66"/>
      <c r="G21" s="66"/>
      <c r="H21" s="67"/>
      <c r="I21" s="41"/>
      <c r="J21" s="66"/>
      <c r="K21" s="66"/>
      <c r="L21" s="66"/>
      <c r="M21" s="67"/>
      <c r="N21" s="41" t="s">
        <v>142</v>
      </c>
      <c r="O21" s="65" t="s">
        <v>143</v>
      </c>
      <c r="P21" s="66">
        <v>696947</v>
      </c>
      <c r="Q21" s="66" t="s">
        <v>144</v>
      </c>
      <c r="R21" s="67" t="s">
        <v>244</v>
      </c>
      <c r="S21" s="41"/>
      <c r="T21" s="66"/>
      <c r="U21" s="66"/>
      <c r="V21" s="66"/>
      <c r="W21" s="67"/>
      <c r="X21" s="41"/>
      <c r="Y21" s="66"/>
      <c r="Z21" s="66"/>
      <c r="AA21" s="66"/>
      <c r="AB21" s="67"/>
    </row>
    <row r="22" spans="1:28" ht="14.45">
      <c r="A22" s="99" t="s">
        <v>349</v>
      </c>
      <c r="B22" s="99"/>
      <c r="C22" s="45"/>
      <c r="D22" s="68"/>
      <c r="E22" s="69"/>
      <c r="F22" s="69"/>
      <c r="G22" s="69"/>
      <c r="H22" s="70"/>
      <c r="I22" s="68"/>
      <c r="J22" s="69"/>
      <c r="K22" s="69"/>
      <c r="L22" s="69"/>
      <c r="M22" s="70"/>
      <c r="N22" s="68"/>
      <c r="O22" s="69"/>
      <c r="P22" s="69"/>
      <c r="Q22" s="69"/>
      <c r="R22" s="70"/>
      <c r="S22" s="68"/>
      <c r="T22" s="69"/>
      <c r="U22" s="69"/>
      <c r="V22" s="69"/>
      <c r="W22" s="70"/>
      <c r="X22" s="68"/>
      <c r="Y22" s="69"/>
      <c r="Z22" s="69"/>
      <c r="AA22" s="69"/>
      <c r="AB22" s="70"/>
    </row>
    <row r="29" spans="1:28" ht="14.45">
      <c r="R29" t="s">
        <v>711</v>
      </c>
    </row>
  </sheetData>
  <autoFilter ref="A1:AB29" xr:uid="{47E036DE-5793-4AD3-A88A-92A73EF24EDF}"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</autoFilter>
  <mergeCells count="19">
    <mergeCell ref="D4:H4"/>
    <mergeCell ref="I4:M4"/>
    <mergeCell ref="N4:R4"/>
    <mergeCell ref="S4:W4"/>
    <mergeCell ref="X4:AB4"/>
    <mergeCell ref="X2:AB2"/>
    <mergeCell ref="D3:H3"/>
    <mergeCell ref="I3:M3"/>
    <mergeCell ref="N3:R3"/>
    <mergeCell ref="S3:W3"/>
    <mergeCell ref="X3:AB3"/>
    <mergeCell ref="D1:H1"/>
    <mergeCell ref="I1:M1"/>
    <mergeCell ref="N1:R1"/>
    <mergeCell ref="S1:W1"/>
    <mergeCell ref="D2:H2"/>
    <mergeCell ref="I2:M2"/>
    <mergeCell ref="N2:R2"/>
    <mergeCell ref="S2:W2"/>
  </mergeCells>
  <hyperlinks>
    <hyperlink ref="E6" r:id="rId1" xr:uid="{5725DA11-801D-48FA-AB11-CD806F3B96A2}"/>
    <hyperlink ref="E17" r:id="rId2" xr:uid="{0C512BEB-F838-483B-92E7-F6621D85F2E3}"/>
    <hyperlink ref="J20" r:id="rId3" xr:uid="{B5A88B1A-180D-4C38-A787-C1B44A7F699C}"/>
    <hyperlink ref="T6" r:id="rId4" xr:uid="{92EBF7BD-69BC-4DCD-BB1E-5393EE17B9C5}"/>
    <hyperlink ref="O21" r:id="rId5" xr:uid="{1CDB9C06-D05F-46BE-80E3-48C1D4F86625}"/>
    <hyperlink ref="Y6" r:id="rId6" xr:uid="{70E037D9-DDDC-4F1A-8F5D-DF928E8C29B6}"/>
    <hyperlink ref="O13" r:id="rId7" xr:uid="{13830F6C-D982-4C05-809E-70BBDF451937}"/>
    <hyperlink ref="O15" r:id="rId8" xr:uid="{7FD2A3B4-B65E-44A8-9B97-E4FF3DD1E3AB}"/>
    <hyperlink ref="Y8" r:id="rId9" xr:uid="{A73984B1-E88A-4B96-BE22-4791B0333858}"/>
    <hyperlink ref="Y10" r:id="rId10" xr:uid="{FD9B649A-79AC-4F71-B979-F3A187B29FC1}"/>
    <hyperlink ref="Y17" r:id="rId11" xr:uid="{78D69950-1993-4080-9C72-3DC0AF08773D}"/>
    <hyperlink ref="O11" r:id="rId12" xr:uid="{48735535-37FF-4F47-B32C-397FAC7EDB9D}"/>
    <hyperlink ref="J9" r:id="rId13" xr:uid="{825C67C5-5534-4ED4-A72A-48E23604E081}"/>
    <hyperlink ref="J8" r:id="rId14" xr:uid="{02AB4CE0-446D-481F-B6CB-5F9CE2706502}"/>
    <hyperlink ref="J17" r:id="rId15" xr:uid="{6632FD74-3EE7-4CB2-9F24-927A74F38832}"/>
    <hyperlink ref="T8" r:id="rId16" xr:uid="{B7E3987C-F40F-4389-B3D2-789C6E37ED50}"/>
    <hyperlink ref="O6" r:id="rId17" xr:uid="{9319BDAF-6619-4C88-A048-E491B65F0C6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C1F8-A329-49BD-9577-72E4EF83CA83}">
  <dimension ref="A1:W20"/>
  <sheetViews>
    <sheetView zoomScale="85" zoomScaleNormal="85" workbookViewId="0">
      <pane xSplit="3" ySplit="5" topLeftCell="D6" activePane="bottomRight" state="frozen"/>
      <selection pane="bottomRight" activeCell="E11" sqref="E11"/>
      <selection pane="bottomLeft" activeCell="A6" sqref="A6"/>
      <selection pane="topRight" activeCell="C1" sqref="C1"/>
    </sheetView>
  </sheetViews>
  <sheetFormatPr defaultRowHeight="14.45"/>
  <cols>
    <col min="1" max="1" width="19.5703125" bestFit="1" customWidth="1"/>
    <col min="2" max="2" width="10.140625" customWidth="1"/>
    <col min="3" max="3" width="17.7109375" style="241" customWidth="1"/>
    <col min="4" max="4" width="15.85546875" bestFit="1" customWidth="1"/>
    <col min="5" max="5" width="39" bestFit="1" customWidth="1"/>
    <col min="6" max="6" width="8.140625" bestFit="1" customWidth="1"/>
    <col min="7" max="7" width="13.85546875" bestFit="1" customWidth="1"/>
    <col min="8" max="8" width="7" bestFit="1" customWidth="1"/>
    <col min="9" max="9" width="23" bestFit="1" customWidth="1"/>
    <col min="10" max="10" width="43" bestFit="1" customWidth="1"/>
    <col min="11" max="11" width="8.140625" bestFit="1" customWidth="1"/>
    <col min="12" max="12" width="14.85546875" bestFit="1" customWidth="1"/>
    <col min="13" max="13" width="9" bestFit="1" customWidth="1"/>
    <col min="14" max="14" width="15.5703125" bestFit="1" customWidth="1"/>
    <col min="15" max="15" width="37.28515625" bestFit="1" customWidth="1"/>
    <col min="16" max="16" width="8.140625" bestFit="1" customWidth="1"/>
    <col min="17" max="17" width="12.85546875" bestFit="1" customWidth="1"/>
    <col min="18" max="18" width="7" bestFit="1" customWidth="1"/>
    <col min="19" max="19" width="15.85546875" bestFit="1" customWidth="1"/>
    <col min="20" max="20" width="45.85546875" bestFit="1" customWidth="1"/>
    <col min="21" max="21" width="8.140625" bestFit="1" customWidth="1"/>
    <col min="22" max="22" width="13.7109375" customWidth="1"/>
    <col min="23" max="23" width="9" bestFit="1" customWidth="1"/>
  </cols>
  <sheetData>
    <row r="1" spans="1:23" ht="26.45" customHeight="1" thickBot="1">
      <c r="A1" s="533" t="s">
        <v>113</v>
      </c>
      <c r="B1" s="534" t="s">
        <v>114</v>
      </c>
      <c r="C1" s="535"/>
      <c r="D1" s="831">
        <v>1</v>
      </c>
      <c r="E1" s="832"/>
      <c r="F1" s="832"/>
      <c r="G1" s="832"/>
      <c r="H1" s="833"/>
      <c r="I1" s="831">
        <v>2</v>
      </c>
      <c r="J1" s="832"/>
      <c r="K1" s="832"/>
      <c r="L1" s="832"/>
      <c r="M1" s="833"/>
      <c r="N1" s="831">
        <v>3</v>
      </c>
      <c r="O1" s="832"/>
      <c r="P1" s="832"/>
      <c r="Q1" s="832"/>
      <c r="R1" s="833"/>
      <c r="S1" s="769">
        <v>4</v>
      </c>
      <c r="T1" s="770"/>
      <c r="U1" s="770"/>
      <c r="V1" s="770"/>
      <c r="W1" s="771"/>
    </row>
    <row r="2" spans="1:23">
      <c r="A2" s="536" t="s">
        <v>115</v>
      </c>
      <c r="B2" s="537"/>
      <c r="C2" s="538"/>
      <c r="D2" s="834" t="s">
        <v>116</v>
      </c>
      <c r="E2" s="835"/>
      <c r="F2" s="835"/>
      <c r="G2" s="835"/>
      <c r="H2" s="836"/>
      <c r="I2" s="834" t="s">
        <v>117</v>
      </c>
      <c r="J2" s="835"/>
      <c r="K2" s="835"/>
      <c r="L2" s="835"/>
      <c r="M2" s="836"/>
      <c r="N2" s="834" t="s">
        <v>118</v>
      </c>
      <c r="O2" s="835"/>
      <c r="P2" s="835"/>
      <c r="Q2" s="835"/>
      <c r="R2" s="836"/>
      <c r="S2" s="837" t="s">
        <v>119</v>
      </c>
      <c r="T2" s="838"/>
      <c r="U2" s="838"/>
      <c r="V2" s="838"/>
      <c r="W2" s="839"/>
    </row>
    <row r="3" spans="1:23">
      <c r="A3" s="539" t="s">
        <v>120</v>
      </c>
      <c r="B3" s="540"/>
      <c r="C3" s="541"/>
      <c r="D3" s="823" t="s">
        <v>121</v>
      </c>
      <c r="E3" s="824"/>
      <c r="F3" s="824"/>
      <c r="G3" s="824"/>
      <c r="H3" s="825"/>
      <c r="I3" s="823" t="s">
        <v>122</v>
      </c>
      <c r="J3" s="824"/>
      <c r="K3" s="824"/>
      <c r="L3" s="824"/>
      <c r="M3" s="825"/>
      <c r="N3" s="823" t="s">
        <v>123</v>
      </c>
      <c r="O3" s="824"/>
      <c r="P3" s="824"/>
      <c r="Q3" s="824"/>
      <c r="R3" s="825"/>
      <c r="S3" s="823" t="s">
        <v>124</v>
      </c>
      <c r="T3" s="824"/>
      <c r="U3" s="824"/>
      <c r="V3" s="824"/>
      <c r="W3" s="826"/>
    </row>
    <row r="4" spans="1:23">
      <c r="A4" s="542" t="s">
        <v>125</v>
      </c>
      <c r="B4" s="543"/>
      <c r="C4" s="544"/>
      <c r="D4" s="827" t="s">
        <v>126</v>
      </c>
      <c r="E4" s="828"/>
      <c r="F4" s="828"/>
      <c r="G4" s="828"/>
      <c r="H4" s="829"/>
      <c r="I4" s="827" t="s">
        <v>127</v>
      </c>
      <c r="J4" s="828"/>
      <c r="K4" s="828"/>
      <c r="L4" s="828"/>
      <c r="M4" s="829"/>
      <c r="N4" s="827" t="s">
        <v>128</v>
      </c>
      <c r="O4" s="828"/>
      <c r="P4" s="828"/>
      <c r="Q4" s="828"/>
      <c r="R4" s="829"/>
      <c r="S4" s="827" t="s">
        <v>129</v>
      </c>
      <c r="T4" s="828"/>
      <c r="U4" s="828"/>
      <c r="V4" s="828"/>
      <c r="W4" s="830"/>
    </row>
    <row r="5" spans="1:23" ht="15" thickBot="1">
      <c r="A5" s="545" t="s">
        <v>130</v>
      </c>
      <c r="B5" s="546"/>
      <c r="C5" s="547"/>
      <c r="D5" s="548" t="s">
        <v>131</v>
      </c>
      <c r="E5" s="549" t="s">
        <v>132</v>
      </c>
      <c r="F5" s="549" t="s">
        <v>133</v>
      </c>
      <c r="G5" s="549" t="s">
        <v>134</v>
      </c>
      <c r="H5" s="550" t="s">
        <v>135</v>
      </c>
      <c r="I5" s="548" t="s">
        <v>131</v>
      </c>
      <c r="J5" s="549" t="s">
        <v>132</v>
      </c>
      <c r="K5" s="549" t="s">
        <v>133</v>
      </c>
      <c r="L5" s="549" t="s">
        <v>134</v>
      </c>
      <c r="M5" s="550" t="s">
        <v>135</v>
      </c>
      <c r="N5" s="548" t="s">
        <v>131</v>
      </c>
      <c r="O5" s="549" t="s">
        <v>132</v>
      </c>
      <c r="P5" s="549" t="s">
        <v>133</v>
      </c>
      <c r="Q5" s="549" t="s">
        <v>134</v>
      </c>
      <c r="R5" s="550" t="s">
        <v>135</v>
      </c>
      <c r="S5" s="548" t="s">
        <v>131</v>
      </c>
      <c r="T5" s="549" t="s">
        <v>132</v>
      </c>
      <c r="U5" s="549" t="s">
        <v>133</v>
      </c>
      <c r="V5" s="549" t="s">
        <v>134</v>
      </c>
      <c r="W5" s="551" t="s">
        <v>135</v>
      </c>
    </row>
    <row r="6" spans="1:23" ht="15" thickBot="1">
      <c r="A6" s="552" t="s">
        <v>58</v>
      </c>
      <c r="B6" s="553" t="s">
        <v>136</v>
      </c>
      <c r="C6" s="554" t="s">
        <v>137</v>
      </c>
      <c r="D6" s="555" t="s">
        <v>138</v>
      </c>
      <c r="E6" s="555" t="s">
        <v>139</v>
      </c>
      <c r="F6" s="556">
        <v>2261768</v>
      </c>
      <c r="G6" s="556" t="s">
        <v>140</v>
      </c>
      <c r="H6" s="557" t="s">
        <v>141</v>
      </c>
      <c r="I6" s="558" t="s">
        <v>142</v>
      </c>
      <c r="J6" s="559" t="s">
        <v>143</v>
      </c>
      <c r="K6" s="559">
        <v>696947</v>
      </c>
      <c r="L6" s="556" t="s">
        <v>144</v>
      </c>
      <c r="M6" s="557" t="s">
        <v>141</v>
      </c>
      <c r="N6" s="558" t="s">
        <v>145</v>
      </c>
      <c r="O6" s="559" t="s">
        <v>146</v>
      </c>
      <c r="P6" s="556">
        <v>2068067</v>
      </c>
      <c r="Q6" s="556" t="s">
        <v>147</v>
      </c>
      <c r="R6" s="557" t="s">
        <v>141</v>
      </c>
      <c r="S6" s="560" t="s">
        <v>148</v>
      </c>
      <c r="T6" s="557" t="s">
        <v>149</v>
      </c>
      <c r="U6" s="557">
        <v>470861</v>
      </c>
      <c r="V6" s="557" t="s">
        <v>150</v>
      </c>
      <c r="W6" s="561" t="s">
        <v>141</v>
      </c>
    </row>
    <row r="7" spans="1:23" ht="15" thickBot="1">
      <c r="A7" s="562" t="s">
        <v>58</v>
      </c>
      <c r="B7" s="563"/>
      <c r="C7" s="564"/>
      <c r="D7" s="565"/>
      <c r="E7" s="566"/>
      <c r="F7" s="566"/>
      <c r="G7" s="566"/>
      <c r="H7" s="567"/>
      <c r="I7" s="568" t="s">
        <v>151</v>
      </c>
      <c r="J7" s="569" t="s">
        <v>152</v>
      </c>
      <c r="K7" s="569">
        <v>2262064</v>
      </c>
      <c r="L7" s="566" t="s">
        <v>153</v>
      </c>
      <c r="M7" s="567" t="s">
        <v>141</v>
      </c>
      <c r="N7" s="560" t="s">
        <v>148</v>
      </c>
      <c r="O7" s="557" t="s">
        <v>149</v>
      </c>
      <c r="P7" s="557">
        <v>470861</v>
      </c>
      <c r="Q7" s="557" t="s">
        <v>150</v>
      </c>
      <c r="R7" s="561" t="s">
        <v>141</v>
      </c>
      <c r="S7" s="558" t="s">
        <v>145</v>
      </c>
      <c r="T7" s="559" t="s">
        <v>146</v>
      </c>
      <c r="U7" s="556">
        <v>2068067</v>
      </c>
      <c r="V7" s="556" t="s">
        <v>147</v>
      </c>
      <c r="W7" s="557" t="s">
        <v>141</v>
      </c>
    </row>
    <row r="8" spans="1:23">
      <c r="A8" s="570" t="s">
        <v>154</v>
      </c>
      <c r="B8" s="571" t="s">
        <v>136</v>
      </c>
      <c r="C8" s="572" t="s">
        <v>155</v>
      </c>
      <c r="D8" s="573" t="s">
        <v>156</v>
      </c>
      <c r="E8" s="571" t="s">
        <v>157</v>
      </c>
      <c r="F8" s="571">
        <v>2428440</v>
      </c>
      <c r="G8" s="571" t="s">
        <v>158</v>
      </c>
      <c r="H8" s="574" t="s">
        <v>141</v>
      </c>
      <c r="I8" s="575" t="s">
        <v>159</v>
      </c>
      <c r="J8" s="576" t="s">
        <v>160</v>
      </c>
      <c r="K8" s="576">
        <v>2228647</v>
      </c>
      <c r="L8" s="576" t="s">
        <v>161</v>
      </c>
      <c r="M8" s="577" t="s">
        <v>141</v>
      </c>
      <c r="N8" s="578" t="s">
        <v>145</v>
      </c>
      <c r="O8" s="579" t="s">
        <v>146</v>
      </c>
      <c r="P8" s="571">
        <v>2068067</v>
      </c>
      <c r="Q8" s="571" t="s">
        <v>147</v>
      </c>
      <c r="R8" s="574" t="s">
        <v>141</v>
      </c>
      <c r="S8" s="578" t="s">
        <v>148</v>
      </c>
      <c r="T8" s="579" t="s">
        <v>149</v>
      </c>
      <c r="U8" s="579">
        <v>470861</v>
      </c>
      <c r="V8" s="571" t="s">
        <v>150</v>
      </c>
      <c r="W8" s="580" t="s">
        <v>141</v>
      </c>
    </row>
    <row r="9" spans="1:23" ht="15" thickBot="1">
      <c r="A9" s="581" t="s">
        <v>154</v>
      </c>
      <c r="B9" s="582"/>
      <c r="C9" s="583"/>
      <c r="D9" s="575"/>
      <c r="E9" s="576"/>
      <c r="F9" s="584"/>
      <c r="G9" s="576"/>
      <c r="H9" s="585"/>
      <c r="I9" s="575" t="s">
        <v>162</v>
      </c>
      <c r="J9" s="576" t="s">
        <v>163</v>
      </c>
      <c r="K9" s="576">
        <v>2096374</v>
      </c>
      <c r="L9" s="576" t="s">
        <v>164</v>
      </c>
      <c r="M9" s="577" t="s">
        <v>141</v>
      </c>
      <c r="N9" s="575" t="s">
        <v>148</v>
      </c>
      <c r="O9" s="576" t="s">
        <v>149</v>
      </c>
      <c r="P9" s="576">
        <v>470861</v>
      </c>
      <c r="Q9" s="576" t="s">
        <v>150</v>
      </c>
      <c r="R9" s="585" t="s">
        <v>141</v>
      </c>
      <c r="S9" s="575" t="s">
        <v>145</v>
      </c>
      <c r="T9" s="576" t="s">
        <v>146</v>
      </c>
      <c r="U9" s="576">
        <v>2068067</v>
      </c>
      <c r="V9" s="576" t="s">
        <v>147</v>
      </c>
      <c r="W9" s="577" t="s">
        <v>141</v>
      </c>
    </row>
    <row r="10" spans="1:23">
      <c r="A10" s="586" t="s">
        <v>170</v>
      </c>
      <c r="B10" s="587" t="s">
        <v>136</v>
      </c>
      <c r="C10" s="588" t="s">
        <v>166</v>
      </c>
      <c r="D10" s="589" t="s">
        <v>156</v>
      </c>
      <c r="E10" s="587" t="s">
        <v>157</v>
      </c>
      <c r="F10" s="590">
        <v>2428440</v>
      </c>
      <c r="G10" s="587" t="s">
        <v>158</v>
      </c>
      <c r="H10" s="591" t="s">
        <v>141</v>
      </c>
      <c r="I10" s="529" t="s">
        <v>167</v>
      </c>
      <c r="J10" s="530" t="s">
        <v>168</v>
      </c>
      <c r="K10" s="531">
        <v>2458610</v>
      </c>
      <c r="L10" s="530" t="s">
        <v>169</v>
      </c>
      <c r="M10" s="532" t="s">
        <v>141</v>
      </c>
      <c r="N10" s="589" t="s">
        <v>145</v>
      </c>
      <c r="O10" s="587" t="s">
        <v>146</v>
      </c>
      <c r="P10" s="587">
        <v>2068067</v>
      </c>
      <c r="Q10" s="587" t="s">
        <v>147</v>
      </c>
      <c r="R10" s="592" t="s">
        <v>141</v>
      </c>
      <c r="S10" s="593" t="s">
        <v>148</v>
      </c>
      <c r="T10" s="591" t="s">
        <v>149</v>
      </c>
      <c r="U10" s="591">
        <v>470861</v>
      </c>
      <c r="V10" s="591" t="s">
        <v>150</v>
      </c>
      <c r="W10" s="592" t="s">
        <v>141</v>
      </c>
    </row>
    <row r="11" spans="1:23">
      <c r="A11" s="594" t="s">
        <v>170</v>
      </c>
      <c r="B11" s="595"/>
      <c r="C11" s="596"/>
      <c r="D11" s="529"/>
      <c r="E11" s="172"/>
      <c r="F11" s="531"/>
      <c r="G11" s="530"/>
      <c r="H11" s="532"/>
      <c r="I11" s="529" t="s">
        <v>171</v>
      </c>
      <c r="J11" s="530" t="s">
        <v>172</v>
      </c>
      <c r="K11" s="531">
        <v>2134110</v>
      </c>
      <c r="L11" s="530" t="s">
        <v>173</v>
      </c>
      <c r="M11" s="532" t="s">
        <v>141</v>
      </c>
      <c r="N11" s="597" t="s">
        <v>148</v>
      </c>
      <c r="O11" s="530" t="s">
        <v>149</v>
      </c>
      <c r="P11" s="530">
        <v>470861</v>
      </c>
      <c r="Q11" s="530" t="s">
        <v>150</v>
      </c>
      <c r="R11" s="598" t="s">
        <v>141</v>
      </c>
      <c r="S11" s="599" t="s">
        <v>145</v>
      </c>
      <c r="T11" s="530" t="s">
        <v>146</v>
      </c>
      <c r="U11" s="530">
        <v>2068067</v>
      </c>
      <c r="V11" s="530" t="s">
        <v>147</v>
      </c>
      <c r="W11" s="598" t="s">
        <v>141</v>
      </c>
    </row>
    <row r="12" spans="1:23">
      <c r="A12" s="600" t="s">
        <v>170</v>
      </c>
      <c r="B12" s="601"/>
      <c r="C12" s="602"/>
      <c r="D12" s="603"/>
      <c r="E12" s="604"/>
      <c r="F12" s="605"/>
      <c r="G12" s="604"/>
      <c r="H12" s="606"/>
      <c r="I12" s="529" t="s">
        <v>174</v>
      </c>
      <c r="J12" s="530" t="s">
        <v>175</v>
      </c>
      <c r="K12" s="531">
        <v>2177684</v>
      </c>
      <c r="L12" s="530" t="s">
        <v>176</v>
      </c>
      <c r="M12" s="532" t="s">
        <v>141</v>
      </c>
      <c r="N12" s="529"/>
      <c r="O12" s="530"/>
      <c r="P12" s="531"/>
      <c r="Q12" s="530"/>
      <c r="R12" s="532"/>
      <c r="S12" s="529"/>
      <c r="T12" s="530"/>
      <c r="U12" s="531"/>
      <c r="V12" s="530"/>
      <c r="W12" s="532"/>
    </row>
    <row r="13" spans="1:23">
      <c r="A13" s="594" t="s">
        <v>170</v>
      </c>
      <c r="B13" s="595"/>
      <c r="C13" s="596"/>
      <c r="D13" s="529"/>
      <c r="E13" s="530"/>
      <c r="F13" s="531"/>
      <c r="G13" s="530"/>
      <c r="H13" s="532"/>
      <c r="I13" s="529" t="s">
        <v>177</v>
      </c>
      <c r="J13" s="530" t="s">
        <v>178</v>
      </c>
      <c r="K13" s="531">
        <v>2459296</v>
      </c>
      <c r="L13" s="530" t="s">
        <v>179</v>
      </c>
      <c r="M13" s="532" t="s">
        <v>141</v>
      </c>
      <c r="N13" s="597"/>
      <c r="O13" s="530"/>
      <c r="P13" s="530"/>
      <c r="Q13" s="530"/>
      <c r="R13" s="598"/>
      <c r="S13" s="599"/>
      <c r="T13" s="530"/>
      <c r="U13" s="530"/>
      <c r="V13" s="530"/>
      <c r="W13" s="598"/>
    </row>
    <row r="14" spans="1:23">
      <c r="A14" s="594" t="s">
        <v>170</v>
      </c>
      <c r="B14" s="595"/>
      <c r="C14" s="596"/>
      <c r="D14" s="597"/>
      <c r="E14" s="530"/>
      <c r="F14" s="531"/>
      <c r="G14" s="530"/>
      <c r="H14" s="532"/>
      <c r="I14" s="529" t="s">
        <v>183</v>
      </c>
      <c r="J14" s="530" t="s">
        <v>184</v>
      </c>
      <c r="K14" s="531">
        <v>2469233</v>
      </c>
      <c r="L14" s="530" t="s">
        <v>185</v>
      </c>
      <c r="M14" s="532" t="s">
        <v>141</v>
      </c>
      <c r="N14" s="597"/>
      <c r="O14" s="530"/>
      <c r="P14" s="530"/>
      <c r="Q14" s="530"/>
      <c r="R14" s="598"/>
      <c r="S14" s="599"/>
      <c r="T14" s="530"/>
      <c r="U14" s="530"/>
      <c r="V14" s="530"/>
      <c r="W14" s="598"/>
    </row>
    <row r="15" spans="1:23">
      <c r="A15" s="594" t="s">
        <v>165</v>
      </c>
      <c r="B15" s="595"/>
      <c r="C15" s="596"/>
      <c r="D15" s="529"/>
      <c r="E15" s="172"/>
      <c r="F15" s="531"/>
      <c r="G15" s="530"/>
      <c r="H15" s="532"/>
      <c r="I15" s="597" t="s">
        <v>186</v>
      </c>
      <c r="J15" s="530" t="s">
        <v>187</v>
      </c>
      <c r="K15" s="531">
        <v>2425958</v>
      </c>
      <c r="L15" s="530" t="s">
        <v>188</v>
      </c>
      <c r="M15" s="532" t="s">
        <v>141</v>
      </c>
      <c r="N15" s="597"/>
      <c r="O15" s="530"/>
      <c r="P15" s="530"/>
      <c r="Q15" s="530"/>
      <c r="R15" s="598"/>
      <c r="S15" s="599"/>
      <c r="T15" s="530"/>
      <c r="U15" s="530"/>
      <c r="V15" s="530"/>
      <c r="W15" s="598"/>
    </row>
    <row r="16" spans="1:23">
      <c r="A16" s="594" t="s">
        <v>165</v>
      </c>
      <c r="B16" s="595"/>
      <c r="C16" s="596"/>
      <c r="D16" s="597"/>
      <c r="E16" s="530"/>
      <c r="F16" s="531"/>
      <c r="G16" s="530"/>
      <c r="H16" s="532"/>
      <c r="I16" s="597" t="s">
        <v>189</v>
      </c>
      <c r="J16" s="530" t="s">
        <v>190</v>
      </c>
      <c r="K16" s="531">
        <v>2425983</v>
      </c>
      <c r="L16" s="530" t="s">
        <v>191</v>
      </c>
      <c r="M16" s="532" t="s">
        <v>141</v>
      </c>
      <c r="N16" s="597"/>
      <c r="O16" s="530"/>
      <c r="P16" s="530"/>
      <c r="Q16" s="530"/>
      <c r="R16" s="598"/>
      <c r="S16" s="599"/>
      <c r="T16" s="530"/>
      <c r="U16" s="530"/>
      <c r="V16" s="530"/>
      <c r="W16" s="598"/>
    </row>
    <row r="17" spans="1:23">
      <c r="A17" s="594"/>
      <c r="B17" s="595"/>
      <c r="C17" s="596"/>
      <c r="D17" s="597"/>
      <c r="E17" s="530"/>
      <c r="F17" s="531"/>
      <c r="G17" s="530"/>
      <c r="H17" s="532"/>
      <c r="I17" s="597" t="s">
        <v>192</v>
      </c>
      <c r="J17" s="530" t="s">
        <v>193</v>
      </c>
      <c r="K17" s="531"/>
      <c r="L17" s="530" t="s">
        <v>194</v>
      </c>
      <c r="M17" s="532" t="s">
        <v>141</v>
      </c>
      <c r="N17" s="603"/>
      <c r="O17" s="604"/>
      <c r="P17" s="604"/>
      <c r="Q17" s="604"/>
      <c r="R17" s="607"/>
      <c r="S17" s="608"/>
      <c r="T17" s="604"/>
      <c r="U17" s="604"/>
      <c r="V17" s="604"/>
      <c r="W17" s="607"/>
    </row>
    <row r="18" spans="1:23" ht="15" thickBot="1">
      <c r="A18" s="594" t="s">
        <v>165</v>
      </c>
      <c r="B18" s="595"/>
      <c r="C18" s="596"/>
      <c r="D18" s="597"/>
      <c r="E18" s="530"/>
      <c r="F18" s="531"/>
      <c r="G18" s="530"/>
      <c r="H18" s="532"/>
      <c r="I18" s="529" t="s">
        <v>180</v>
      </c>
      <c r="J18" s="530" t="s">
        <v>181</v>
      </c>
      <c r="K18" s="531"/>
      <c r="L18" s="530" t="s">
        <v>182</v>
      </c>
      <c r="M18" s="532" t="s">
        <v>141</v>
      </c>
      <c r="N18" s="609"/>
      <c r="O18" s="610"/>
      <c r="P18" s="610"/>
      <c r="Q18" s="610"/>
      <c r="R18" s="611"/>
      <c r="S18" s="612"/>
      <c r="T18" s="610"/>
      <c r="U18" s="610"/>
      <c r="V18" s="610"/>
      <c r="W18" s="611"/>
    </row>
    <row r="19" spans="1:23">
      <c r="A19" s="613" t="s">
        <v>195</v>
      </c>
      <c r="B19" s="614" t="s">
        <v>136</v>
      </c>
      <c r="C19" s="615" t="s">
        <v>196</v>
      </c>
      <c r="D19" s="616" t="s">
        <v>197</v>
      </c>
      <c r="E19" s="617" t="s">
        <v>198</v>
      </c>
      <c r="F19" s="617">
        <v>2261809</v>
      </c>
      <c r="G19" s="617" t="s">
        <v>199</v>
      </c>
      <c r="H19" s="618" t="s">
        <v>141</v>
      </c>
      <c r="I19" s="619" t="s">
        <v>200</v>
      </c>
      <c r="J19" s="620" t="s">
        <v>201</v>
      </c>
      <c r="K19" s="620">
        <v>2276700</v>
      </c>
      <c r="L19" s="620" t="s">
        <v>202</v>
      </c>
      <c r="M19" s="621" t="s">
        <v>141</v>
      </c>
      <c r="N19" s="619" t="s">
        <v>145</v>
      </c>
      <c r="O19" s="620" t="s">
        <v>146</v>
      </c>
      <c r="P19" s="620">
        <v>2068067</v>
      </c>
      <c r="Q19" s="620" t="s">
        <v>147</v>
      </c>
      <c r="R19" s="621" t="s">
        <v>141</v>
      </c>
      <c r="S19" s="622" t="s">
        <v>148</v>
      </c>
      <c r="T19" s="621" t="s">
        <v>149</v>
      </c>
      <c r="U19" s="621">
        <v>470861</v>
      </c>
      <c r="V19" s="621" t="s">
        <v>150</v>
      </c>
      <c r="W19" s="623" t="s">
        <v>141</v>
      </c>
    </row>
    <row r="20" spans="1:23" ht="15" thickBot="1">
      <c r="A20" s="624" t="s">
        <v>195</v>
      </c>
      <c r="B20" s="625"/>
      <c r="C20" s="626"/>
      <c r="D20" s="627"/>
      <c r="E20" s="223"/>
      <c r="F20" s="628"/>
      <c r="G20" s="628"/>
      <c r="H20" s="629"/>
      <c r="I20" s="627" t="s">
        <v>203</v>
      </c>
      <c r="J20" s="628" t="s">
        <v>204</v>
      </c>
      <c r="K20" s="628">
        <v>2436313</v>
      </c>
      <c r="L20" s="630" t="s">
        <v>205</v>
      </c>
      <c r="M20" s="629" t="s">
        <v>141</v>
      </c>
      <c r="N20" s="627" t="s">
        <v>148</v>
      </c>
      <c r="O20" s="628" t="s">
        <v>149</v>
      </c>
      <c r="P20" s="628">
        <v>470861</v>
      </c>
      <c r="Q20" s="628" t="s">
        <v>150</v>
      </c>
      <c r="R20" s="629" t="s">
        <v>141</v>
      </c>
      <c r="S20" s="627" t="s">
        <v>145</v>
      </c>
      <c r="T20" s="628" t="s">
        <v>146</v>
      </c>
      <c r="U20" s="628">
        <v>2068067</v>
      </c>
      <c r="V20" s="628" t="s">
        <v>147</v>
      </c>
      <c r="W20" s="631" t="s">
        <v>141</v>
      </c>
    </row>
  </sheetData>
  <mergeCells count="16">
    <mergeCell ref="D1:H1"/>
    <mergeCell ref="I1:M1"/>
    <mergeCell ref="N1:R1"/>
    <mergeCell ref="S1:W1"/>
    <mergeCell ref="D2:H2"/>
    <mergeCell ref="I2:M2"/>
    <mergeCell ref="N2:R2"/>
    <mergeCell ref="S2:W2"/>
    <mergeCell ref="D3:H3"/>
    <mergeCell ref="I3:M3"/>
    <mergeCell ref="N3:R3"/>
    <mergeCell ref="S3:W3"/>
    <mergeCell ref="D4:H4"/>
    <mergeCell ref="I4:M4"/>
    <mergeCell ref="N4:R4"/>
    <mergeCell ref="S4:W4"/>
  </mergeCells>
  <hyperlinks>
    <hyperlink ref="E19" r:id="rId1" display="mailto:kolekar.vaibhavsunil@freseniusmedicalcare.com" xr:uid="{C5D3DD42-CCCD-4330-BA82-C3085E4FB52D}"/>
    <hyperlink ref="O6" r:id="rId2" display="mailto:gowthami.konduri@freseniusmedicalcare.com" xr:uid="{4E04C165-032C-4C6A-8E06-DD81C3E94B74}"/>
    <hyperlink ref="J11" r:id="rId3" display="mailto:shashank.purohit1@freseniusmedicalcare.com" xr:uid="{F289DA70-F5FE-41ED-9D6A-A45A14AFB1B1}"/>
    <hyperlink ref="O8" r:id="rId4" display="mailto:gowthami.konduri@freseniusmedicalcare.com" xr:uid="{6166D68E-E693-4EAE-9B65-C78EA896279E}"/>
    <hyperlink ref="J6" r:id="rId5" display="mailto:sagar.kaware@freseniusmedicalcare.com" xr:uid="{5C4ACFD8-CD51-429A-AEB3-44D23BE8FB90}"/>
    <hyperlink ref="J20" r:id="rId6" display="mailto:pushpa.gajananpatil@freseniusmedicalcare.com" xr:uid="{1DF428AA-44A3-411D-BCA4-828CA4228A65}"/>
    <hyperlink ref="J12" r:id="rId7" display="mailto:venkatasubrahmanyam.kotra@freseniusmedicalcare.com" xr:uid="{AD977F88-66DC-4A52-89E8-6F545196542B}"/>
    <hyperlink ref="J15" r:id="rId8" display="mailto:venkatasubrahmanyam.kotra@freseniusmedicalcare.com" xr:uid="{B2EE542D-1226-43E2-89FC-F12513754D38}"/>
    <hyperlink ref="J13" r:id="rId9" display="mailto:sakshirajshekhar.bhuse@freseniusmedicalcare.com" xr:uid="{0222E15C-7D58-4B0C-9301-7280B55733CF}"/>
    <hyperlink ref="T6" r:id="rId10" display="mailto:divya.unnikrishnan@freseniusmedicalcare.com" xr:uid="{395F1EFE-FCA9-4B94-8ED0-0B95CF6B3764}"/>
    <hyperlink ref="J14" r:id="rId11" display="mailto:goutam.bhadravti-mohan@freseniusmedicalcare.com" xr:uid="{D15EC03F-76A1-4FC8-BCAC-F0052C262B0B}"/>
    <hyperlink ref="O7" r:id="rId12" display="mailto:divya.unnikrishnan@freseniusmedicalcare.com" xr:uid="{BF3406A0-1F6A-4E7F-9655-DF77A860E28C}"/>
    <hyperlink ref="T7" r:id="rId13" display="mailto:gowthami.konduri@freseniusmedicalcare.com" xr:uid="{CE429A39-03F7-4C40-B57A-70C7E15C3B8E}"/>
    <hyperlink ref="J10" r:id="rId14" display="mailto:spoorthy.hr1@freseniusmedicalcare.com" xr:uid="{F4B54A8A-2574-4345-AADA-A6E475C8A709}"/>
    <hyperlink ref="J17" r:id="rId15" display="mailto:vinothkumar.udhayakumar@freseniusmedicalcare.com" xr:uid="{3BF861E3-BFE4-4AD2-BE27-AD3EFBD49B31}"/>
    <hyperlink ref="J18" r:id="rId16" display="mailto:gouravkumar.patnaik@freseniusmedicalcare.com" xr:uid="{4F7CBF56-2323-42C9-AAD2-81DA7DE4188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82EB-5C23-4E0D-8615-52578AE0FABF}">
  <sheetPr filterMode="1">
    <tabColor rgb="FFC00000"/>
  </sheetPr>
  <dimension ref="A1:S38"/>
  <sheetViews>
    <sheetView zoomScale="80" zoomScaleNormal="80" workbookViewId="0">
      <pane ySplit="1" topLeftCell="C16" activePane="bottomLeft" state="frozen"/>
      <selection pane="bottomLeft" activeCell="K16" sqref="K16"/>
    </sheetView>
  </sheetViews>
  <sheetFormatPr defaultRowHeight="15" customHeight="1"/>
  <cols>
    <col min="1" max="1" width="14.140625" customWidth="1"/>
    <col min="2" max="2" width="21" customWidth="1"/>
    <col min="3" max="3" width="27.7109375" customWidth="1"/>
    <col min="4" max="4" width="11.28515625" hidden="1" customWidth="1"/>
    <col min="5" max="5" width="35.85546875" style="124" hidden="1" customWidth="1"/>
    <col min="6" max="6" width="14.5703125" style="430" customWidth="1"/>
    <col min="7" max="7" width="23.7109375" hidden="1" customWidth="1"/>
    <col min="8" max="8" width="30.42578125" hidden="1" customWidth="1"/>
    <col min="9" max="9" width="32.5703125" customWidth="1"/>
    <col min="10" max="10" width="29" customWidth="1"/>
    <col min="11" max="11" width="20" customWidth="1"/>
    <col min="12" max="12" width="11.7109375" customWidth="1"/>
    <col min="13" max="13" width="11.28515625" customWidth="1"/>
    <col min="14" max="14" width="13" customWidth="1"/>
    <col min="15" max="15" width="12.7109375" customWidth="1"/>
    <col min="16" max="16" width="13.5703125" customWidth="1"/>
    <col min="17" max="17" width="28" customWidth="1"/>
    <col min="18" max="18" width="19.85546875" customWidth="1"/>
    <col min="19" max="19" width="34" customWidth="1"/>
  </cols>
  <sheetData>
    <row r="1" spans="1:19" ht="29.25">
      <c r="A1" s="1" t="s">
        <v>0</v>
      </c>
      <c r="B1" s="2" t="s">
        <v>1</v>
      </c>
      <c r="C1" s="2" t="s">
        <v>382</v>
      </c>
      <c r="D1" s="2" t="s">
        <v>6</v>
      </c>
      <c r="E1" s="645" t="s">
        <v>2</v>
      </c>
      <c r="F1" s="2" t="s">
        <v>383</v>
      </c>
      <c r="G1" s="80" t="s">
        <v>3</v>
      </c>
      <c r="H1" s="2" t="s">
        <v>4</v>
      </c>
      <c r="I1" s="2" t="s">
        <v>5</v>
      </c>
      <c r="J1" s="2" t="s">
        <v>384</v>
      </c>
      <c r="K1" s="454" t="s">
        <v>385</v>
      </c>
      <c r="L1" s="454" t="s">
        <v>386</v>
      </c>
      <c r="M1" s="454" t="s">
        <v>387</v>
      </c>
      <c r="N1" s="454" t="s">
        <v>388</v>
      </c>
      <c r="O1" s="454" t="s">
        <v>389</v>
      </c>
      <c r="Q1" s="719" t="s">
        <v>390</v>
      </c>
      <c r="R1" s="719" t="s">
        <v>391</v>
      </c>
      <c r="S1" s="719" t="s">
        <v>392</v>
      </c>
    </row>
    <row r="2" spans="1:19" ht="39" hidden="1">
      <c r="A2" s="649">
        <v>906</v>
      </c>
      <c r="B2" s="3" t="s">
        <v>393</v>
      </c>
      <c r="C2" s="3" t="s">
        <v>394</v>
      </c>
      <c r="D2" s="6" t="s">
        <v>12</v>
      </c>
      <c r="E2" s="244" t="s">
        <v>15</v>
      </c>
      <c r="F2" s="427" t="s">
        <v>395</v>
      </c>
      <c r="G2" s="510" t="s">
        <v>77</v>
      </c>
      <c r="H2" s="458" t="s">
        <v>396</v>
      </c>
      <c r="I2" s="6" t="s">
        <v>396</v>
      </c>
      <c r="J2" s="455" t="s">
        <v>287</v>
      </c>
      <c r="K2" s="455" t="s">
        <v>397</v>
      </c>
      <c r="L2" s="6" t="s">
        <v>398</v>
      </c>
      <c r="M2" s="3" t="s">
        <v>399</v>
      </c>
      <c r="N2" s="516">
        <v>491725346044</v>
      </c>
      <c r="O2" s="3"/>
    </row>
    <row r="3" spans="1:19" ht="26.1" hidden="1">
      <c r="A3" s="649">
        <v>116</v>
      </c>
      <c r="B3" s="3" t="s">
        <v>76</v>
      </c>
      <c r="C3" s="77" t="s">
        <v>394</v>
      </c>
      <c r="D3" s="6" t="s">
        <v>12</v>
      </c>
      <c r="E3" s="77" t="s">
        <v>15</v>
      </c>
      <c r="F3" s="428" t="s">
        <v>395</v>
      </c>
      <c r="G3" s="104" t="s">
        <v>77</v>
      </c>
      <c r="H3" s="458" t="s">
        <v>396</v>
      </c>
      <c r="I3" s="6" t="s">
        <v>396</v>
      </c>
      <c r="J3" s="3" t="s">
        <v>232</v>
      </c>
      <c r="K3" s="3" t="s">
        <v>397</v>
      </c>
      <c r="L3" s="6" t="s">
        <v>398</v>
      </c>
      <c r="M3" s="3" t="s">
        <v>399</v>
      </c>
      <c r="N3" s="516">
        <v>491725346044</v>
      </c>
      <c r="O3" s="3"/>
    </row>
    <row r="4" spans="1:19" ht="26.1" hidden="1">
      <c r="A4" s="649">
        <v>907</v>
      </c>
      <c r="B4" s="3" t="s">
        <v>110</v>
      </c>
      <c r="C4" s="77" t="s">
        <v>394</v>
      </c>
      <c r="D4" s="6" t="s">
        <v>12</v>
      </c>
      <c r="E4" s="77" t="s">
        <v>15</v>
      </c>
      <c r="F4" s="428" t="s">
        <v>395</v>
      </c>
      <c r="G4" s="104" t="s">
        <v>77</v>
      </c>
      <c r="H4" s="6" t="s">
        <v>396</v>
      </c>
      <c r="I4" s="6" t="s">
        <v>396</v>
      </c>
      <c r="J4" s="3" t="s">
        <v>400</v>
      </c>
      <c r="K4" s="3" t="s">
        <v>397</v>
      </c>
      <c r="L4" s="6" t="s">
        <v>398</v>
      </c>
      <c r="M4" s="3" t="s">
        <v>399</v>
      </c>
      <c r="N4" s="517">
        <v>491725346044</v>
      </c>
      <c r="O4" s="3"/>
    </row>
    <row r="5" spans="1:19" ht="39" hidden="1">
      <c r="A5" s="649">
        <v>120</v>
      </c>
      <c r="B5" s="3" t="s">
        <v>40</v>
      </c>
      <c r="C5" s="77" t="s">
        <v>401</v>
      </c>
      <c r="D5" s="6" t="s">
        <v>12</v>
      </c>
      <c r="E5" s="77" t="s">
        <v>15</v>
      </c>
      <c r="F5" s="428" t="s">
        <v>395</v>
      </c>
      <c r="G5" s="104" t="s">
        <v>41</v>
      </c>
      <c r="H5" s="6" t="s">
        <v>396</v>
      </c>
      <c r="I5" s="6" t="s">
        <v>396</v>
      </c>
      <c r="J5" s="6" t="s">
        <v>402</v>
      </c>
      <c r="K5" s="6" t="s">
        <v>403</v>
      </c>
      <c r="L5" s="6" t="s">
        <v>398</v>
      </c>
      <c r="M5" s="3" t="s">
        <v>399</v>
      </c>
      <c r="N5" s="6"/>
      <c r="O5" s="6"/>
    </row>
    <row r="6" spans="1:19" ht="39" hidden="1">
      <c r="A6" s="649">
        <v>121</v>
      </c>
      <c r="B6" s="3" t="s">
        <v>44</v>
      </c>
      <c r="C6" s="77" t="s">
        <v>401</v>
      </c>
      <c r="D6" s="6" t="s">
        <v>12</v>
      </c>
      <c r="E6" s="77" t="s">
        <v>15</v>
      </c>
      <c r="F6" s="428" t="s">
        <v>395</v>
      </c>
      <c r="G6" s="104" t="s">
        <v>404</v>
      </c>
      <c r="H6" s="6" t="s">
        <v>396</v>
      </c>
      <c r="I6" s="6" t="s">
        <v>396</v>
      </c>
      <c r="J6" s="6" t="s">
        <v>402</v>
      </c>
      <c r="K6" s="6" t="s">
        <v>403</v>
      </c>
      <c r="L6" s="6" t="s">
        <v>398</v>
      </c>
      <c r="M6" s="3" t="s">
        <v>399</v>
      </c>
      <c r="N6" s="6"/>
      <c r="O6" s="6"/>
    </row>
    <row r="7" spans="1:19" ht="39" hidden="1">
      <c r="A7" s="649">
        <v>122</v>
      </c>
      <c r="B7" s="3" t="s">
        <v>45</v>
      </c>
      <c r="C7" s="77" t="s">
        <v>401</v>
      </c>
      <c r="D7" s="5" t="s">
        <v>19</v>
      </c>
      <c r="E7" s="77" t="s">
        <v>15</v>
      </c>
      <c r="F7" s="428" t="s">
        <v>395</v>
      </c>
      <c r="G7" s="104" t="s">
        <v>41</v>
      </c>
      <c r="H7" s="6" t="s">
        <v>396</v>
      </c>
      <c r="I7" s="6" t="s">
        <v>396</v>
      </c>
      <c r="J7" s="6" t="s">
        <v>402</v>
      </c>
      <c r="K7" s="6" t="s">
        <v>403</v>
      </c>
      <c r="L7" s="6" t="s">
        <v>398</v>
      </c>
      <c r="M7" s="3" t="s">
        <v>399</v>
      </c>
      <c r="N7" s="6"/>
      <c r="O7" s="6"/>
    </row>
    <row r="8" spans="1:19" ht="26.1" hidden="1">
      <c r="A8" s="649">
        <v>114</v>
      </c>
      <c r="B8" s="3" t="s">
        <v>87</v>
      </c>
      <c r="C8" s="77" t="s">
        <v>405</v>
      </c>
      <c r="D8" s="5" t="s">
        <v>27</v>
      </c>
      <c r="E8" s="78" t="s">
        <v>83</v>
      </c>
      <c r="F8" s="428" t="s">
        <v>395</v>
      </c>
      <c r="G8" s="283" t="s">
        <v>84</v>
      </c>
      <c r="H8" s="79" t="s">
        <v>85</v>
      </c>
      <c r="I8" s="6" t="s">
        <v>86</v>
      </c>
      <c r="J8" s="6" t="s">
        <v>406</v>
      </c>
      <c r="K8" s="6" t="s">
        <v>407</v>
      </c>
      <c r="L8" s="6" t="s">
        <v>398</v>
      </c>
      <c r="M8" s="6" t="s">
        <v>399</v>
      </c>
      <c r="N8" s="6" t="s">
        <v>408</v>
      </c>
      <c r="O8" s="6" t="s">
        <v>399</v>
      </c>
    </row>
    <row r="9" spans="1:19" ht="39" hidden="1">
      <c r="A9" s="649">
        <v>133</v>
      </c>
      <c r="B9" s="434" t="s">
        <v>88</v>
      </c>
      <c r="C9" s="77" t="s">
        <v>405</v>
      </c>
      <c r="D9" s="5" t="s">
        <v>27</v>
      </c>
      <c r="E9" s="78" t="s">
        <v>83</v>
      </c>
      <c r="F9" s="428" t="s">
        <v>395</v>
      </c>
      <c r="G9" s="528" t="s">
        <v>89</v>
      </c>
      <c r="H9" s="79" t="s">
        <v>85</v>
      </c>
      <c r="I9" s="458" t="s">
        <v>86</v>
      </c>
      <c r="J9" s="431" t="s">
        <v>409</v>
      </c>
      <c r="K9" s="431" t="s">
        <v>407</v>
      </c>
      <c r="L9" s="6" t="s">
        <v>398</v>
      </c>
      <c r="M9" s="431" t="s">
        <v>399</v>
      </c>
      <c r="N9" s="136" t="s">
        <v>408</v>
      </c>
      <c r="O9" s="431" t="s">
        <v>399</v>
      </c>
    </row>
    <row r="10" spans="1:19" ht="26.1" hidden="1">
      <c r="A10" s="649">
        <v>134</v>
      </c>
      <c r="B10" s="3" t="s">
        <v>90</v>
      </c>
      <c r="C10" s="77" t="s">
        <v>405</v>
      </c>
      <c r="D10" s="5" t="s">
        <v>27</v>
      </c>
      <c r="E10" s="78" t="s">
        <v>83</v>
      </c>
      <c r="F10" s="428" t="s">
        <v>395</v>
      </c>
      <c r="G10" s="100" t="s">
        <v>89</v>
      </c>
      <c r="H10" s="79" t="s">
        <v>85</v>
      </c>
      <c r="I10" s="6" t="s">
        <v>86</v>
      </c>
      <c r="J10" s="136" t="s">
        <v>406</v>
      </c>
      <c r="K10" s="136" t="s">
        <v>407</v>
      </c>
      <c r="L10" s="6" t="s">
        <v>398</v>
      </c>
      <c r="M10" s="136" t="s">
        <v>399</v>
      </c>
      <c r="N10" s="136" t="s">
        <v>408</v>
      </c>
      <c r="O10" s="136" t="s">
        <v>399</v>
      </c>
    </row>
    <row r="11" spans="1:19" ht="26.1" hidden="1">
      <c r="A11" s="649">
        <v>135</v>
      </c>
      <c r="B11" s="434" t="s">
        <v>91</v>
      </c>
      <c r="C11" s="77" t="s">
        <v>410</v>
      </c>
      <c r="D11" s="5" t="s">
        <v>27</v>
      </c>
      <c r="E11" s="78" t="s">
        <v>92</v>
      </c>
      <c r="F11" s="428" t="s">
        <v>395</v>
      </c>
      <c r="G11" s="652" t="s">
        <v>93</v>
      </c>
      <c r="H11" s="79" t="s">
        <v>85</v>
      </c>
      <c r="I11" s="6" t="s">
        <v>86</v>
      </c>
      <c r="J11" s="431" t="s">
        <v>406</v>
      </c>
      <c r="K11" s="431" t="s">
        <v>407</v>
      </c>
      <c r="L11" s="6" t="s">
        <v>398</v>
      </c>
      <c r="M11" s="431" t="s">
        <v>399</v>
      </c>
      <c r="N11" s="431" t="s">
        <v>411</v>
      </c>
      <c r="O11" s="431" t="s">
        <v>399</v>
      </c>
    </row>
    <row r="12" spans="1:19" ht="26.1" hidden="1">
      <c r="A12" s="649">
        <v>137</v>
      </c>
      <c r="B12" s="3" t="s">
        <v>94</v>
      </c>
      <c r="C12" s="77" t="s">
        <v>412</v>
      </c>
      <c r="D12" s="5" t="s">
        <v>27</v>
      </c>
      <c r="E12" s="77" t="s">
        <v>15</v>
      </c>
      <c r="F12" s="428" t="s">
        <v>395</v>
      </c>
      <c r="G12" s="643" t="s">
        <v>95</v>
      </c>
      <c r="H12" s="79" t="s">
        <v>85</v>
      </c>
      <c r="I12" s="3" t="s">
        <v>96</v>
      </c>
      <c r="J12" s="6" t="s">
        <v>413</v>
      </c>
      <c r="K12" s="6" t="s">
        <v>262</v>
      </c>
      <c r="L12" s="6" t="s">
        <v>398</v>
      </c>
      <c r="M12" s="6" t="s">
        <v>399</v>
      </c>
      <c r="N12" s="6" t="s">
        <v>414</v>
      </c>
      <c r="O12" s="6" t="s">
        <v>399</v>
      </c>
    </row>
    <row r="13" spans="1:19" ht="39" hidden="1">
      <c r="A13" s="649">
        <v>124</v>
      </c>
      <c r="B13" s="3" t="s">
        <v>14</v>
      </c>
      <c r="C13" s="77" t="s">
        <v>415</v>
      </c>
      <c r="D13" s="6" t="s">
        <v>19</v>
      </c>
      <c r="E13" s="77" t="s">
        <v>15</v>
      </c>
      <c r="F13" s="428" t="s">
        <v>395</v>
      </c>
      <c r="G13" s="511" t="s">
        <v>16</v>
      </c>
      <c r="H13" s="79" t="s">
        <v>17</v>
      </c>
      <c r="I13" s="3" t="s">
        <v>18</v>
      </c>
      <c r="J13" s="3" t="s">
        <v>416</v>
      </c>
      <c r="K13" s="3" t="s">
        <v>416</v>
      </c>
      <c r="L13" s="6" t="s">
        <v>398</v>
      </c>
      <c r="M13" s="3" t="s">
        <v>399</v>
      </c>
      <c r="N13" s="3" t="s">
        <v>417</v>
      </c>
      <c r="O13" s="3" t="s">
        <v>399</v>
      </c>
    </row>
    <row r="14" spans="1:19" ht="26.1" hidden="1">
      <c r="A14" s="649">
        <v>142</v>
      </c>
      <c r="B14" s="3" t="s">
        <v>33</v>
      </c>
      <c r="C14" s="77" t="s">
        <v>418</v>
      </c>
      <c r="D14" s="6" t="s">
        <v>12</v>
      </c>
      <c r="E14" s="77" t="s">
        <v>15</v>
      </c>
      <c r="F14" s="428" t="s">
        <v>395</v>
      </c>
      <c r="G14" s="119" t="s">
        <v>34</v>
      </c>
      <c r="H14" s="79" t="s">
        <v>30</v>
      </c>
      <c r="I14" s="6" t="s">
        <v>35</v>
      </c>
      <c r="J14" s="6" t="s">
        <v>419</v>
      </c>
      <c r="K14" s="6" t="s">
        <v>419</v>
      </c>
      <c r="L14" s="6" t="s">
        <v>398</v>
      </c>
      <c r="M14" s="6" t="s">
        <v>399</v>
      </c>
      <c r="N14" s="6" t="s">
        <v>420</v>
      </c>
      <c r="O14" s="6" t="s">
        <v>399</v>
      </c>
    </row>
    <row r="15" spans="1:19" ht="51.95" hidden="1">
      <c r="A15" s="649">
        <v>119</v>
      </c>
      <c r="B15" s="3" t="s">
        <v>99</v>
      </c>
      <c r="C15" s="77" t="s">
        <v>421</v>
      </c>
      <c r="D15" s="6" t="s">
        <v>12</v>
      </c>
      <c r="E15" s="77" t="s">
        <v>15</v>
      </c>
      <c r="F15" s="428" t="s">
        <v>395</v>
      </c>
      <c r="G15" s="511" t="s">
        <v>100</v>
      </c>
      <c r="H15" s="79" t="s">
        <v>101</v>
      </c>
      <c r="I15" s="79" t="s">
        <v>101</v>
      </c>
      <c r="J15" s="3" t="s">
        <v>422</v>
      </c>
      <c r="K15" s="3" t="s">
        <v>241</v>
      </c>
      <c r="L15" s="6" t="s">
        <v>423</v>
      </c>
      <c r="M15" s="3" t="s">
        <v>399</v>
      </c>
      <c r="N15" s="3" t="s">
        <v>424</v>
      </c>
      <c r="O15" s="3" t="s">
        <v>399</v>
      </c>
      <c r="P15" s="244" t="s">
        <v>425</v>
      </c>
    </row>
    <row r="16" spans="1:19" ht="65.099999999999994">
      <c r="A16" s="649">
        <v>108</v>
      </c>
      <c r="B16" s="3" t="s">
        <v>58</v>
      </c>
      <c r="C16" s="77" t="s">
        <v>426</v>
      </c>
      <c r="D16" s="5" t="s">
        <v>19</v>
      </c>
      <c r="E16" s="78" t="s">
        <v>15</v>
      </c>
      <c r="F16" s="428" t="s">
        <v>427</v>
      </c>
      <c r="G16" s="512" t="s">
        <v>59</v>
      </c>
      <c r="H16" s="79" t="s">
        <v>60</v>
      </c>
      <c r="I16" s="3" t="s">
        <v>61</v>
      </c>
      <c r="J16" s="3" t="s">
        <v>428</v>
      </c>
      <c r="K16" s="3" t="s">
        <v>429</v>
      </c>
      <c r="L16" s="6" t="s">
        <v>398</v>
      </c>
      <c r="M16" s="3" t="s">
        <v>399</v>
      </c>
      <c r="N16" s="3" t="s">
        <v>430</v>
      </c>
      <c r="O16" s="3" t="s">
        <v>399</v>
      </c>
    </row>
    <row r="17" spans="1:16" ht="26.1" hidden="1">
      <c r="A17" s="649">
        <v>139</v>
      </c>
      <c r="B17" s="3" t="s">
        <v>97</v>
      </c>
      <c r="C17" s="77" t="s">
        <v>431</v>
      </c>
      <c r="D17" s="5" t="s">
        <v>27</v>
      </c>
      <c r="E17" s="77" t="s">
        <v>15</v>
      </c>
      <c r="F17" s="428" t="s">
        <v>395</v>
      </c>
      <c r="G17" s="283" t="s">
        <v>98</v>
      </c>
      <c r="H17" s="79" t="s">
        <v>85</v>
      </c>
      <c r="I17" s="3" t="s">
        <v>96</v>
      </c>
      <c r="J17" s="6" t="s">
        <v>413</v>
      </c>
      <c r="K17" s="6" t="s">
        <v>262</v>
      </c>
      <c r="L17" s="6" t="s">
        <v>398</v>
      </c>
      <c r="M17" s="6" t="s">
        <v>399</v>
      </c>
      <c r="N17" s="459" t="s">
        <v>432</v>
      </c>
      <c r="O17" s="6" t="s">
        <v>399</v>
      </c>
    </row>
    <row r="18" spans="1:16" ht="26.1" hidden="1">
      <c r="A18" s="135">
        <v>999</v>
      </c>
      <c r="B18" s="3" t="s">
        <v>82</v>
      </c>
      <c r="C18" s="3" t="s">
        <v>405</v>
      </c>
      <c r="D18" s="5" t="s">
        <v>27</v>
      </c>
      <c r="E18" s="78" t="s">
        <v>83</v>
      </c>
      <c r="F18" s="427" t="s">
        <v>395</v>
      </c>
      <c r="G18" s="283" t="s">
        <v>84</v>
      </c>
      <c r="H18" s="79" t="s">
        <v>85</v>
      </c>
      <c r="I18" s="6" t="s">
        <v>86</v>
      </c>
      <c r="J18" s="136" t="s">
        <v>406</v>
      </c>
      <c r="K18" s="136" t="s">
        <v>407</v>
      </c>
      <c r="L18" s="6" t="s">
        <v>398</v>
      </c>
      <c r="M18" s="136" t="s">
        <v>399</v>
      </c>
      <c r="N18" s="136" t="s">
        <v>408</v>
      </c>
      <c r="O18" s="136" t="s">
        <v>399</v>
      </c>
    </row>
    <row r="19" spans="1:16" ht="54.75" hidden="1" customHeight="1">
      <c r="A19" s="649">
        <v>117</v>
      </c>
      <c r="B19" s="3" t="s">
        <v>79</v>
      </c>
      <c r="C19" s="3" t="s">
        <v>433</v>
      </c>
      <c r="D19" s="6" t="s">
        <v>12</v>
      </c>
      <c r="E19" s="244" t="s">
        <v>15</v>
      </c>
      <c r="F19" s="427" t="s">
        <v>395</v>
      </c>
      <c r="G19" s="100" t="s">
        <v>80</v>
      </c>
      <c r="H19" s="79" t="s">
        <v>81</v>
      </c>
      <c r="I19" s="3" t="s">
        <v>81</v>
      </c>
      <c r="J19" s="3" t="s">
        <v>235</v>
      </c>
      <c r="K19" s="3" t="s">
        <v>434</v>
      </c>
      <c r="L19" s="6" t="s">
        <v>398</v>
      </c>
      <c r="M19" s="3" t="s">
        <v>399</v>
      </c>
      <c r="N19" s="3" t="s">
        <v>435</v>
      </c>
      <c r="O19" s="3" t="s">
        <v>399</v>
      </c>
    </row>
    <row r="20" spans="1:16" ht="120.75" customHeight="1">
      <c r="A20" s="649">
        <v>112</v>
      </c>
      <c r="B20" s="3" t="s">
        <v>67</v>
      </c>
      <c r="C20" s="77" t="s">
        <v>436</v>
      </c>
      <c r="D20" s="5" t="s">
        <v>19</v>
      </c>
      <c r="E20" s="646" t="s">
        <v>437</v>
      </c>
      <c r="F20" s="428" t="s">
        <v>427</v>
      </c>
      <c r="G20" s="104" t="s">
        <v>69</v>
      </c>
      <c r="H20" s="79" t="s">
        <v>60</v>
      </c>
      <c r="I20" s="122" t="s">
        <v>60</v>
      </c>
      <c r="J20" s="3" t="s">
        <v>438</v>
      </c>
      <c r="K20" s="3" t="s">
        <v>338</v>
      </c>
      <c r="L20" s="6" t="s">
        <v>398</v>
      </c>
      <c r="M20" s="3" t="s">
        <v>399</v>
      </c>
      <c r="N20" s="3" t="s">
        <v>439</v>
      </c>
      <c r="O20" s="3" t="s">
        <v>399</v>
      </c>
    </row>
    <row r="21" spans="1:16" ht="87" customHeight="1">
      <c r="A21" s="649">
        <v>913</v>
      </c>
      <c r="B21" s="4" t="s">
        <v>73</v>
      </c>
      <c r="C21" s="77" t="s">
        <v>436</v>
      </c>
      <c r="D21" s="5" t="s">
        <v>19</v>
      </c>
      <c r="E21" s="78" t="s">
        <v>437</v>
      </c>
      <c r="F21" s="428" t="s">
        <v>427</v>
      </c>
      <c r="G21" s="104" t="s">
        <v>69</v>
      </c>
      <c r="H21" s="79" t="s">
        <v>60</v>
      </c>
      <c r="I21" s="122" t="s">
        <v>440</v>
      </c>
      <c r="J21" s="3" t="s">
        <v>441</v>
      </c>
      <c r="K21" s="3" t="s">
        <v>186</v>
      </c>
      <c r="L21" s="6" t="s">
        <v>398</v>
      </c>
      <c r="M21" s="3" t="s">
        <v>399</v>
      </c>
      <c r="N21" s="3" t="s">
        <v>439</v>
      </c>
      <c r="O21" s="3" t="s">
        <v>399</v>
      </c>
    </row>
    <row r="22" spans="1:16" ht="39">
      <c r="A22" s="649">
        <v>106</v>
      </c>
      <c r="B22" s="3" t="s">
        <v>47</v>
      </c>
      <c r="C22" s="3" t="s">
        <v>442</v>
      </c>
      <c r="D22" s="5" t="s">
        <v>19</v>
      </c>
      <c r="E22" s="78" t="s">
        <v>48</v>
      </c>
      <c r="F22" s="428" t="s">
        <v>427</v>
      </c>
      <c r="G22" s="76" t="s">
        <v>49</v>
      </c>
      <c r="H22" s="79" t="s">
        <v>50</v>
      </c>
      <c r="I22" s="3" t="s">
        <v>51</v>
      </c>
      <c r="J22" s="3" t="s">
        <v>251</v>
      </c>
      <c r="K22" s="3" t="s">
        <v>251</v>
      </c>
      <c r="L22" s="6" t="s">
        <v>398</v>
      </c>
      <c r="M22" s="3" t="s">
        <v>399</v>
      </c>
      <c r="N22" s="3" t="s">
        <v>443</v>
      </c>
      <c r="O22" s="3" t="s">
        <v>444</v>
      </c>
      <c r="P22" s="244" t="s">
        <v>269</v>
      </c>
    </row>
    <row r="23" spans="1:16" ht="39">
      <c r="A23" s="135">
        <v>537</v>
      </c>
      <c r="B23" s="3" t="s">
        <v>105</v>
      </c>
      <c r="C23" s="77" t="s">
        <v>442</v>
      </c>
      <c r="D23" s="5" t="s">
        <v>19</v>
      </c>
      <c r="E23" s="77" t="s">
        <v>106</v>
      </c>
      <c r="F23" s="428" t="s">
        <v>427</v>
      </c>
      <c r="G23" s="165" t="s">
        <v>107</v>
      </c>
      <c r="H23" s="79" t="s">
        <v>108</v>
      </c>
      <c r="I23" s="3" t="s">
        <v>51</v>
      </c>
      <c r="J23" s="3" t="s">
        <v>251</v>
      </c>
      <c r="K23" s="3" t="s">
        <v>251</v>
      </c>
      <c r="L23" s="6" t="s">
        <v>398</v>
      </c>
      <c r="M23" s="3" t="s">
        <v>399</v>
      </c>
      <c r="N23" s="3" t="s">
        <v>443</v>
      </c>
      <c r="O23" s="3" t="s">
        <v>444</v>
      </c>
    </row>
    <row r="24" spans="1:16" ht="56.1" customHeight="1">
      <c r="A24" s="135">
        <v>538</v>
      </c>
      <c r="B24" s="3" t="s">
        <v>55</v>
      </c>
      <c r="C24" s="77" t="s">
        <v>442</v>
      </c>
      <c r="D24" s="5" t="s">
        <v>19</v>
      </c>
      <c r="E24" s="78" t="s">
        <v>56</v>
      </c>
      <c r="F24" s="428" t="s">
        <v>427</v>
      </c>
      <c r="G24" s="76" t="s">
        <v>57</v>
      </c>
      <c r="H24" s="79" t="s">
        <v>50</v>
      </c>
      <c r="I24" s="3" t="s">
        <v>51</v>
      </c>
      <c r="J24" s="3" t="s">
        <v>251</v>
      </c>
      <c r="K24" s="3" t="s">
        <v>251</v>
      </c>
      <c r="L24" s="6" t="s">
        <v>398</v>
      </c>
      <c r="M24" s="3" t="s">
        <v>399</v>
      </c>
      <c r="N24" s="3" t="s">
        <v>443</v>
      </c>
      <c r="O24" s="3" t="s">
        <v>444</v>
      </c>
      <c r="P24" s="244" t="s">
        <v>269</v>
      </c>
    </row>
    <row r="25" spans="1:16" ht="42" hidden="1" customHeight="1">
      <c r="A25" s="649">
        <v>152</v>
      </c>
      <c r="B25" s="3" t="s">
        <v>445</v>
      </c>
      <c r="C25" s="77" t="s">
        <v>446</v>
      </c>
      <c r="D25" s="6" t="s">
        <v>12</v>
      </c>
      <c r="E25" s="78" t="s">
        <v>53</v>
      </c>
      <c r="F25" s="428" t="s">
        <v>395</v>
      </c>
      <c r="G25" s="76" t="s">
        <v>103</v>
      </c>
      <c r="H25" s="79" t="s">
        <v>51</v>
      </c>
      <c r="I25" s="3" t="s">
        <v>51</v>
      </c>
      <c r="J25" s="3" t="s">
        <v>251</v>
      </c>
      <c r="K25" s="3" t="s">
        <v>251</v>
      </c>
      <c r="L25" s="6" t="s">
        <v>398</v>
      </c>
      <c r="M25" s="3" t="s">
        <v>447</v>
      </c>
      <c r="N25" s="3" t="s">
        <v>448</v>
      </c>
      <c r="O25" s="3" t="s">
        <v>399</v>
      </c>
    </row>
    <row r="26" spans="1:16" ht="115.5" customHeight="1">
      <c r="A26" s="649">
        <v>908</v>
      </c>
      <c r="B26" s="3" t="s">
        <v>296</v>
      </c>
      <c r="C26" s="77" t="s">
        <v>449</v>
      </c>
      <c r="D26" s="5" t="s">
        <v>19</v>
      </c>
      <c r="E26" s="77" t="s">
        <v>15</v>
      </c>
      <c r="F26" s="428" t="s">
        <v>427</v>
      </c>
      <c r="G26" s="115" t="s">
        <v>37</v>
      </c>
      <c r="H26" s="79" t="s">
        <v>38</v>
      </c>
      <c r="I26" s="6" t="s">
        <v>39</v>
      </c>
      <c r="J26" s="6" t="s">
        <v>450</v>
      </c>
      <c r="K26" s="6" t="s">
        <v>451</v>
      </c>
      <c r="L26" s="6" t="s">
        <v>398</v>
      </c>
      <c r="M26" s="6" t="s">
        <v>399</v>
      </c>
      <c r="N26" s="6" t="s">
        <v>452</v>
      </c>
      <c r="O26" s="6" t="s">
        <v>399</v>
      </c>
    </row>
    <row r="27" spans="1:16" ht="65.099999999999994">
      <c r="A27" s="649">
        <v>111</v>
      </c>
      <c r="B27" s="3" t="s">
        <v>36</v>
      </c>
      <c r="C27" s="77" t="s">
        <v>453</v>
      </c>
      <c r="D27" s="5" t="s">
        <v>19</v>
      </c>
      <c r="E27" s="77" t="s">
        <v>15</v>
      </c>
      <c r="F27" s="428" t="s">
        <v>427</v>
      </c>
      <c r="G27" s="511" t="s">
        <v>37</v>
      </c>
      <c r="H27" s="79" t="s">
        <v>38</v>
      </c>
      <c r="I27" s="6" t="s">
        <v>39</v>
      </c>
      <c r="J27" s="6" t="s">
        <v>450</v>
      </c>
      <c r="K27" s="6" t="s">
        <v>454</v>
      </c>
      <c r="L27" s="6" t="s">
        <v>398</v>
      </c>
      <c r="M27" s="6" t="s">
        <v>399</v>
      </c>
      <c r="N27" s="6" t="s">
        <v>452</v>
      </c>
      <c r="O27" s="6" t="s">
        <v>399</v>
      </c>
    </row>
    <row r="28" spans="1:16" ht="56.1" hidden="1" customHeight="1">
      <c r="A28" s="649">
        <v>150</v>
      </c>
      <c r="B28" s="3" t="s">
        <v>102</v>
      </c>
      <c r="C28" s="77" t="s">
        <v>455</v>
      </c>
      <c r="D28" s="6" t="s">
        <v>12</v>
      </c>
      <c r="E28" s="77" t="s">
        <v>437</v>
      </c>
      <c r="F28" s="428" t="s">
        <v>395</v>
      </c>
      <c r="G28" s="115" t="s">
        <v>103</v>
      </c>
      <c r="H28" s="3" t="s">
        <v>104</v>
      </c>
      <c r="I28" s="3" t="s">
        <v>104</v>
      </c>
      <c r="J28" s="3" t="s">
        <v>456</v>
      </c>
      <c r="K28" s="3" t="s">
        <v>457</v>
      </c>
      <c r="L28" s="6" t="s">
        <v>398</v>
      </c>
      <c r="M28" s="3" t="s">
        <v>399</v>
      </c>
      <c r="N28" s="3" t="s">
        <v>458</v>
      </c>
      <c r="O28" s="3" t="s">
        <v>399</v>
      </c>
      <c r="P28" s="244" t="s">
        <v>425</v>
      </c>
    </row>
    <row r="29" spans="1:16" ht="53.45" hidden="1" customHeight="1">
      <c r="A29" s="649">
        <v>140</v>
      </c>
      <c r="B29" s="3" t="s">
        <v>28</v>
      </c>
      <c r="C29" s="77" t="s">
        <v>459</v>
      </c>
      <c r="D29" s="5" t="s">
        <v>32</v>
      </c>
      <c r="E29" s="78" t="s">
        <v>15</v>
      </c>
      <c r="F29" s="428" t="s">
        <v>395</v>
      </c>
      <c r="G29" s="104" t="s">
        <v>460</v>
      </c>
      <c r="H29" s="79" t="s">
        <v>30</v>
      </c>
      <c r="I29" s="6" t="s">
        <v>31</v>
      </c>
      <c r="J29" s="6" t="s">
        <v>461</v>
      </c>
      <c r="K29" s="6" t="s">
        <v>462</v>
      </c>
      <c r="L29" s="6" t="s">
        <v>398</v>
      </c>
      <c r="M29" s="6" t="s">
        <v>399</v>
      </c>
      <c r="N29" s="6" t="s">
        <v>463</v>
      </c>
      <c r="O29" s="6" t="s">
        <v>399</v>
      </c>
    </row>
    <row r="30" spans="1:16" ht="56.1" customHeight="1">
      <c r="A30" s="649">
        <v>109</v>
      </c>
      <c r="B30" s="123" t="s">
        <v>464</v>
      </c>
      <c r="C30" s="77" t="s">
        <v>436</v>
      </c>
      <c r="D30" s="5" t="s">
        <v>19</v>
      </c>
      <c r="E30" s="78" t="s">
        <v>64</v>
      </c>
      <c r="F30" s="428" t="s">
        <v>427</v>
      </c>
      <c r="G30" s="100" t="s">
        <v>65</v>
      </c>
      <c r="H30" s="79" t="s">
        <v>60</v>
      </c>
      <c r="I30" s="3" t="s">
        <v>66</v>
      </c>
      <c r="J30" s="3" t="s">
        <v>465</v>
      </c>
      <c r="K30" s="3" t="s">
        <v>145</v>
      </c>
      <c r="L30" s="6" t="s">
        <v>398</v>
      </c>
      <c r="M30" s="3" t="s">
        <v>399</v>
      </c>
      <c r="N30" s="3" t="s">
        <v>466</v>
      </c>
      <c r="O30" s="6" t="s">
        <v>399</v>
      </c>
    </row>
    <row r="31" spans="1:16" ht="26.1" hidden="1">
      <c r="A31" s="649">
        <v>127</v>
      </c>
      <c r="B31" s="3" t="s">
        <v>20</v>
      </c>
      <c r="C31" s="77" t="s">
        <v>415</v>
      </c>
      <c r="D31" s="6" t="s">
        <v>12</v>
      </c>
      <c r="E31" s="77" t="s">
        <v>15</v>
      </c>
      <c r="F31" s="427" t="s">
        <v>395</v>
      </c>
      <c r="G31" s="104" t="s">
        <v>21</v>
      </c>
      <c r="H31" s="79" t="s">
        <v>17</v>
      </c>
      <c r="I31" s="122" t="s">
        <v>17</v>
      </c>
      <c r="J31" s="3" t="s">
        <v>225</v>
      </c>
      <c r="K31" s="3" t="s">
        <v>225</v>
      </c>
      <c r="L31" s="6" t="s">
        <v>398</v>
      </c>
      <c r="M31" s="3" t="s">
        <v>399</v>
      </c>
      <c r="N31" s="518" t="s">
        <v>467</v>
      </c>
      <c r="O31" s="519" t="s">
        <v>399</v>
      </c>
    </row>
    <row r="32" spans="1:16" ht="26.1" hidden="1">
      <c r="A32" s="650">
        <v>128</v>
      </c>
      <c r="B32" s="122" t="s">
        <v>22</v>
      </c>
      <c r="C32" s="122" t="s">
        <v>415</v>
      </c>
      <c r="D32" s="245" t="s">
        <v>12</v>
      </c>
      <c r="E32" s="244" t="s">
        <v>15</v>
      </c>
      <c r="F32" s="429" t="s">
        <v>395</v>
      </c>
      <c r="G32" s="457" t="s">
        <v>21</v>
      </c>
      <c r="H32" s="246" t="s">
        <v>17</v>
      </c>
      <c r="I32" s="122" t="s">
        <v>17</v>
      </c>
      <c r="J32" s="3" t="s">
        <v>225</v>
      </c>
      <c r="K32" s="3" t="s">
        <v>225</v>
      </c>
      <c r="L32" s="6" t="s">
        <v>398</v>
      </c>
      <c r="M32" s="3" t="s">
        <v>399</v>
      </c>
      <c r="N32" s="518" t="s">
        <v>467</v>
      </c>
      <c r="O32" s="519" t="s">
        <v>399</v>
      </c>
    </row>
    <row r="33" spans="1:15" ht="26.1" hidden="1">
      <c r="A33" s="649">
        <v>129</v>
      </c>
      <c r="B33" s="3" t="s">
        <v>24</v>
      </c>
      <c r="C33" s="3" t="s">
        <v>415</v>
      </c>
      <c r="D33" s="6" t="s">
        <v>12</v>
      </c>
      <c r="E33" s="3" t="s">
        <v>15</v>
      </c>
      <c r="F33" s="427" t="s">
        <v>395</v>
      </c>
      <c r="G33" s="513" t="s">
        <v>25</v>
      </c>
      <c r="H33" s="3" t="s">
        <v>17</v>
      </c>
      <c r="I33" s="3" t="s">
        <v>17</v>
      </c>
      <c r="J33" s="3" t="s">
        <v>225</v>
      </c>
      <c r="K33" s="3" t="s">
        <v>225</v>
      </c>
      <c r="L33" s="6" t="s">
        <v>398</v>
      </c>
      <c r="M33" s="3" t="s">
        <v>399</v>
      </c>
      <c r="N33" t="s">
        <v>468</v>
      </c>
      <c r="O33" s="519" t="s">
        <v>399</v>
      </c>
    </row>
    <row r="34" spans="1:15" ht="26.1" hidden="1">
      <c r="A34" s="135">
        <v>518</v>
      </c>
      <c r="B34" s="3" t="s">
        <v>26</v>
      </c>
      <c r="C34" s="3" t="s">
        <v>415</v>
      </c>
      <c r="D34" s="5" t="s">
        <v>27</v>
      </c>
      <c r="E34" s="3" t="s">
        <v>15</v>
      </c>
      <c r="F34" s="427" t="s">
        <v>395</v>
      </c>
      <c r="G34" s="514" t="s">
        <v>21</v>
      </c>
      <c r="H34" s="3" t="s">
        <v>17</v>
      </c>
      <c r="I34" s="3" t="s">
        <v>17</v>
      </c>
      <c r="J34" s="3" t="s">
        <v>225</v>
      </c>
      <c r="K34" s="3" t="s">
        <v>225</v>
      </c>
      <c r="L34" s="6" t="s">
        <v>398</v>
      </c>
      <c r="M34" s="3" t="s">
        <v>399</v>
      </c>
      <c r="N34" t="s">
        <v>468</v>
      </c>
      <c r="O34" s="519" t="s">
        <v>399</v>
      </c>
    </row>
    <row r="35" spans="1:15" ht="26.1">
      <c r="A35" s="651">
        <v>535</v>
      </c>
      <c r="B35" s="49" t="s">
        <v>8</v>
      </c>
      <c r="C35" s="3" t="s">
        <v>469</v>
      </c>
      <c r="D35" s="102" t="s">
        <v>12</v>
      </c>
      <c r="E35" s="647" t="s">
        <v>9</v>
      </c>
      <c r="F35" s="456" t="s">
        <v>427</v>
      </c>
      <c r="G35" s="515" t="s">
        <v>10</v>
      </c>
      <c r="H35" s="49" t="s">
        <v>11</v>
      </c>
      <c r="I35" s="49" t="s">
        <v>11</v>
      </c>
      <c r="J35" s="3" t="s">
        <v>470</v>
      </c>
      <c r="K35" s="3" t="s">
        <v>470</v>
      </c>
      <c r="L35" s="245" t="s">
        <v>398</v>
      </c>
      <c r="M35" s="122" t="s">
        <v>399</v>
      </c>
      <c r="N35" s="122" t="s">
        <v>471</v>
      </c>
      <c r="O35" s="122" t="s">
        <v>399</v>
      </c>
    </row>
    <row r="36" spans="1:15" ht="96" hidden="1" customHeight="1">
      <c r="A36" s="649">
        <v>113</v>
      </c>
      <c r="B36" s="3" t="s">
        <v>70</v>
      </c>
      <c r="C36" s="77" t="s">
        <v>472</v>
      </c>
      <c r="D36" s="5" t="s">
        <v>19</v>
      </c>
      <c r="E36" s="78" t="s">
        <v>71</v>
      </c>
      <c r="F36" s="428" t="s">
        <v>395</v>
      </c>
      <c r="G36" s="104" t="s">
        <v>69</v>
      </c>
      <c r="H36" s="79" t="s">
        <v>60</v>
      </c>
      <c r="I36" s="6" t="s">
        <v>72</v>
      </c>
      <c r="J36" s="6" t="s">
        <v>473</v>
      </c>
      <c r="K36" s="462" t="s">
        <v>474</v>
      </c>
      <c r="L36" s="463" t="s">
        <v>398</v>
      </c>
      <c r="M36" s="463" t="s">
        <v>399</v>
      </c>
      <c r="N36" s="3" t="s">
        <v>439</v>
      </c>
      <c r="O36" s="122" t="s">
        <v>399</v>
      </c>
    </row>
    <row r="37" spans="1:15" ht="15" customHeight="1">
      <c r="A37" t="s">
        <v>75</v>
      </c>
      <c r="B37" t="s">
        <v>712</v>
      </c>
      <c r="C37" t="s">
        <v>713</v>
      </c>
      <c r="D37" t="s">
        <v>714</v>
      </c>
      <c r="F37" s="456" t="s">
        <v>427</v>
      </c>
      <c r="G37" t="s">
        <v>715</v>
      </c>
    </row>
    <row r="38" spans="1:15" ht="15" customHeight="1">
      <c r="A38" t="s">
        <v>75</v>
      </c>
      <c r="B38" t="s">
        <v>716</v>
      </c>
      <c r="C38" t="s">
        <v>716</v>
      </c>
      <c r="D38" t="s">
        <v>717</v>
      </c>
      <c r="F38" s="430" t="s">
        <v>427</v>
      </c>
    </row>
  </sheetData>
  <autoFilter ref="A1:P36" xr:uid="{ADC5D3C9-36EF-459D-897A-AEB63561FA38}">
    <filterColumn colId="5">
      <filters>
        <filter val="Quick Service"/>
      </filters>
    </filterColumn>
  </autoFilter>
  <dataValidations count="1">
    <dataValidation type="list" allowBlank="1" showInputMessage="1" showErrorMessage="1" sqref="L2:L36" xr:uid="{A32AC3CB-0A59-4918-9BEF-1F1E3FC8A4B1}">
      <formula1>"Request Raised , In Progress, Access Acquired "</formula1>
    </dataValidation>
  </dataValidations>
  <hyperlinks>
    <hyperlink ref="G12" r:id="rId1" xr:uid="{83F31DDF-EEBE-4CCC-8389-08725E0A70F9}"/>
    <hyperlink ref="G17" r:id="rId2" xr:uid="{3D8A2B4F-A79D-4873-9C9B-BB5E5C2C4FC5}"/>
    <hyperlink ref="G35" r:id="rId3" xr:uid="{ED6F18D1-BABA-4F33-95EF-BC892720C984}"/>
    <hyperlink ref="G30" r:id="rId4" xr:uid="{CE78AD50-E0F0-4E97-BAA3-17A9CD11CC3F}"/>
    <hyperlink ref="G16" r:id="rId5" display="renate.floeser@freseniusmedicalcare.com" xr:uid="{1CDB4FCB-EEB8-4FBC-9C31-D895BD87DEC5}"/>
    <hyperlink ref="G20" r:id="rId6" xr:uid="{44545453-DE9F-4F05-ACBB-A72A25AD50CB}"/>
    <hyperlink ref="G36" r:id="rId7" xr:uid="{3CBAE755-84FE-4458-BED7-92B23EC07862}"/>
    <hyperlink ref="G19" r:id="rId8" xr:uid="{BFC986E8-68F2-4651-9CDE-B66B92674467}"/>
    <hyperlink ref="G21" r:id="rId9" xr:uid="{A7B7E425-0802-427A-BB64-CF6C183C2A12}"/>
    <hyperlink ref="G3" r:id="rId10" xr:uid="{953CC3CE-32BD-41A9-8182-2B49C3A9AF78}"/>
    <hyperlink ref="G14" r:id="rId11" xr:uid="{8A5B720F-F3AD-469A-9952-B2B998CF3698}"/>
    <hyperlink ref="G27" r:id="rId12" xr:uid="{5269F628-8201-4443-B0F1-E6DBDF14AFE3}"/>
    <hyperlink ref="G13" r:id="rId13" xr:uid="{08FE081B-30F2-4FB4-B3DE-71D580E6A2D8}"/>
    <hyperlink ref="G31" r:id="rId14" xr:uid="{6C9DA4D8-47B3-4118-81FD-C429446AE56C}"/>
    <hyperlink ref="G33" r:id="rId15" xr:uid="{8672C9D0-91E3-4DF1-BEB9-615EBD247CC6}"/>
    <hyperlink ref="G34" r:id="rId16" xr:uid="{AC755D5E-A957-403A-B9D5-7D1CD08CE204}"/>
    <hyperlink ref="G5" r:id="rId17" xr:uid="{B57C3B51-D4D5-482E-868D-2ACE992AB1F3}"/>
    <hyperlink ref="G6" r:id="rId18" xr:uid="{5B90A818-5E96-4120-80A0-241629C2699D}"/>
    <hyperlink ref="G29" r:id="rId19" xr:uid="{1AAABEDC-F597-4F15-B036-2504C841A047}"/>
    <hyperlink ref="G15" r:id="rId20" display="Helena.Schmitz@freseniusmedicalcare.com" xr:uid="{0DC35D57-6063-4E4B-83CC-EE7D93B6AF5E}"/>
    <hyperlink ref="G26" r:id="rId21" xr:uid="{7845A568-492C-44C1-8D55-6349E2E5F556}"/>
    <hyperlink ref="G8" r:id="rId22" xr:uid="{B7C3E850-6CE6-4EA9-9D46-17A83816A0EF}"/>
    <hyperlink ref="G11" r:id="rId23" xr:uid="{D2966536-4605-4C1C-84B1-428856AD46CD}"/>
    <hyperlink ref="G22" r:id="rId24" xr:uid="{59FF9451-1EF2-4E35-9B57-6D3174624C2A}"/>
    <hyperlink ref="G24" r:id="rId25" xr:uid="{44855213-FA36-4B64-B4CE-D278BC72FCC1}"/>
    <hyperlink ref="G25" r:id="rId26" xr:uid="{224EE27D-F723-4586-8DE0-ADDE622A5A1D}"/>
    <hyperlink ref="G2" r:id="rId27" xr:uid="{05836774-1EB9-4FD7-A9E4-F35EC9678101}"/>
    <hyperlink ref="G4" r:id="rId28" xr:uid="{F753870D-7C34-4A7C-83E0-42CEED4F9362}"/>
    <hyperlink ref="G28" r:id="rId29" xr:uid="{F4537A53-AAE3-4843-878D-D85FB3F82C46}"/>
    <hyperlink ref="G9" r:id="rId30" xr:uid="{B15B01E9-BF4E-4756-9668-036575025A22}"/>
    <hyperlink ref="G18" r:id="rId31" xr:uid="{C6F02A8C-B300-4D09-93C8-66F6301EF87C}"/>
    <hyperlink ref="G7" r:id="rId32" xr:uid="{21D1A735-2257-4D2B-A367-C3F0A9C0146D}"/>
    <hyperlink ref="G10" r:id="rId33" xr:uid="{6C5547E3-6338-4E5C-A802-57B3D4F621C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DCE25E282314583853F0A9C0F4B99" ma:contentTypeVersion="11" ma:contentTypeDescription="Create a new document." ma:contentTypeScope="" ma:versionID="83495db65c20406778c5cb079511534a">
  <xsd:schema xmlns:xsd="http://www.w3.org/2001/XMLSchema" xmlns:xs="http://www.w3.org/2001/XMLSchema" xmlns:p="http://schemas.microsoft.com/office/2006/metadata/properties" xmlns:ns2="de233cd9-83bc-44d2-9183-9acc155145f0" xmlns:ns3="84f23406-1ae4-465c-a962-53264b1fc517" targetNamespace="http://schemas.microsoft.com/office/2006/metadata/properties" ma:root="true" ma:fieldsID="ed81be00ee71557f52259e8353b6b866" ns2:_="" ns3:_="">
    <xsd:import namespace="de233cd9-83bc-44d2-9183-9acc155145f0"/>
    <xsd:import namespace="84f23406-1ae4-465c-a962-53264b1fc5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33cd9-83bc-44d2-9183-9acc155145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dd1be7-dc7b-4179-94d4-584b5c204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23406-1ae4-465c-a962-53264b1fc5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0af572-a46b-4061-8f49-725056424d72}" ma:internalName="TaxCatchAll" ma:showField="CatchAllData" ma:web="84f23406-1ae4-465c-a962-53264b1fc5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233cd9-83bc-44d2-9183-9acc155145f0">
      <Terms xmlns="http://schemas.microsoft.com/office/infopath/2007/PartnerControls"/>
    </lcf76f155ced4ddcb4097134ff3c332f>
    <TaxCatchAll xmlns="84f23406-1ae4-465c-a962-53264b1fc5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F64447-09F3-46BA-B0A1-1A87432FB887}"/>
</file>

<file path=customXml/itemProps2.xml><?xml version="1.0" encoding="utf-8"?>
<ds:datastoreItem xmlns:ds="http://schemas.openxmlformats.org/officeDocument/2006/customXml" ds:itemID="{B66B5E02-FA69-4AEE-8D17-0537516B41E0}"/>
</file>

<file path=customXml/itemProps3.xml><?xml version="1.0" encoding="utf-8"?>
<ds:datastoreItem xmlns:ds="http://schemas.openxmlformats.org/officeDocument/2006/customXml" ds:itemID="{8424F4CE-E87D-41F3-A830-555DFAC13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Illendula, Siddharth (Cognizant)</dc:creator>
  <cp:keywords/>
  <dc:description/>
  <cp:lastModifiedBy/>
  <cp:revision/>
  <dcterms:created xsi:type="dcterms:W3CDTF">2025-08-28T08:42:04Z</dcterms:created>
  <dcterms:modified xsi:type="dcterms:W3CDTF">2026-06-09T10:34:23Z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0x010100B4CDCE25E282314583853F0A9C0F4B99</vt:lpwstr>
  </property>
  <property fmtid="{D5CDD505-2E9C-101B-9397-08002B2CF9AE}" pid="3" name="MediaServiceImageTags">
    <vt:lpwstr/>
  </property>
</Properties>
</file>